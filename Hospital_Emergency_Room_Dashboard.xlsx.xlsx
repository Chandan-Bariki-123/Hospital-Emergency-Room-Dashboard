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chand\OneDrive\Desktop\"/>
    </mc:Choice>
  </mc:AlternateContent>
  <xr:revisionPtr revIDLastSave="0" documentId="8_{6A011566-20A7-4FA7-802E-4435A8F44BF0}" xr6:coauthVersionLast="47" xr6:coauthVersionMax="47" xr10:uidLastSave="{00000000-0000-0000-0000-000000000000}"/>
  <bookViews>
    <workbookView xWindow="-108" yWindow="-108" windowWidth="23256" windowHeight="12456" activeTab="1" xr2:uid="{CD4A8E9A-6365-4E0F-8EF8-0321E85EB3E7}"/>
  </bookViews>
  <sheets>
    <sheet name="Pivot Report" sheetId="1" r:id="rId1"/>
    <sheet name="Dashboard" sheetId="2" r:id="rId2"/>
    <sheet name="Dally ER no of patients" sheetId="3" r:id="rId3"/>
    <sheet name="Patient satisfaction score" sheetId="5" r:id="rId4"/>
    <sheet name="Average wait time dally trend" sheetId="4" r:id="rId5"/>
  </sheets>
  <definedNames>
    <definedName name="Slicer_Date__Month">#N/A</definedName>
    <definedName name="Slicer_Date__Year">#N/A</definedName>
  </definedNames>
  <calcPr calcId="191029"/>
  <pivotCaches>
    <pivotCache cacheId="4659" r:id="rId6"/>
    <pivotCache cacheId="4662" r:id="rId7"/>
    <pivotCache cacheId="4665" r:id="rId8"/>
    <pivotCache cacheId="4668" r:id="rId9"/>
    <pivotCache cacheId="4671" r:id="rId10"/>
    <pivotCache cacheId="4674" r:id="rId11"/>
    <pivotCache cacheId="4677" r:id="rId12"/>
    <pivotCache cacheId="4680" r:id="rId13"/>
    <pivotCache cacheId="4683" r:id="rId14"/>
    <pivotCache cacheId="4686" r:id="rId15"/>
    <pivotCache cacheId="4689" r:id="rId16"/>
    <pivotCache cacheId="4692" r:id="rId17"/>
  </pivotCaches>
  <extLst>
    <ext xmlns:x14="http://schemas.microsoft.com/office/spreadsheetml/2009/9/main" uri="{876F7934-8845-4945-9796-88D515C7AA90}">
      <x14:pivotCaches>
        <pivotCache cacheId="361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9ab8b87-21fb-4bef-8a8a-6be6968b7c0c" name="Hospital Emergency Room Data" connection="Query - Hospital Emergency Room Data"/>
          <x15:modelTable id="Calendar_Table_8fb758e4-39c1-4a0b-8d68-20e4cbe31469" name="Calendar_Table" connection="Query - Calendar_Table"/>
        </x15:modelTables>
        <x15:modelRelationships>
          <x15:modelRelationship fromTable="Hospital Emergency Room Data" fromColumn="Patient Admission Date.1"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7" i="1" l="1"/>
  <c r="C57" i="1"/>
  <c r="B58" i="1"/>
  <c r="C58" i="1"/>
  <c r="A58" i="1"/>
  <c r="A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D28719-B9B8-4E33-A2D6-357EFA8C3400}" name="Query - Calendar_Table" description="Connection to the 'Calendar_Table' query in the workbook." type="100" refreshedVersion="8" minRefreshableVersion="5">
    <extLst>
      <ext xmlns:x15="http://schemas.microsoft.com/office/spreadsheetml/2010/11/main" uri="{DE250136-89BD-433C-8126-D09CA5730AF9}">
        <x15:connection id="aa62645a-9ee3-423e-8c93-79422bac6f0a"/>
      </ext>
    </extLst>
  </connection>
  <connection id="2" xr16:uid="{A0125BFE-5A12-4845-9B0E-A1784974947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5308e90-cc09-4f81-bec3-20b38aff13ad"/>
      </ext>
    </extLst>
  </connection>
  <connection id="3" xr16:uid="{CCA05AF6-3B8B-4D7B-A610-7B943083C33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<sst xmlns="http://schemas.openxmlformats.org/spreadsheetml/2006/main" count="148" uniqueCount="73">
  <si>
    <t>Distinct Count of Patient Id</t>
  </si>
  <si>
    <t>no of patient</t>
  </si>
  <si>
    <t>Average of Patient Waittime</t>
  </si>
  <si>
    <t>Average of Patient Satisfaction Score</t>
  </si>
  <si>
    <t>Row Labels</t>
  </si>
  <si>
    <t>Grand Total</t>
  </si>
  <si>
    <t>dally trends of no of patient</t>
  </si>
  <si>
    <t>average wait time</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</si>
  <si>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</si>
  <si>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</si>
  <si>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</si>
  <si>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</si>
  <si>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</si>
  <si>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</si>
  <si>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</si>
  <si>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</si>
  <si>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</si>
  <si>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</si>
  <si>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</si>
  <si>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</si>
  <si>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</si>
  <si>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</si>
  <si>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</si>
  <si>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</si>
  <si>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</si>
  <si>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</si>
  <si>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</si>
  <si>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</si>
  <si>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</si>
  <si>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</si>
  <si>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</si>
  <si>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</si>
  <si>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</si>
  <si>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</si>
  <si>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</si>
  <si>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</si>
  <si>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</si>
  <si>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</si>
  <si>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</si>
  <si>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Patient satisfaction score</t>
  </si>
  <si>
    <t>Count of Patient Admission Flag</t>
  </si>
  <si>
    <t>Admitted</t>
  </si>
  <si>
    <t>Not admitted</t>
  </si>
  <si>
    <t>Count of Patient Admission Flag2</t>
  </si>
  <si>
    <t>Admission Status</t>
  </si>
  <si>
    <t>No of patient</t>
  </si>
  <si>
    <t>%status</t>
  </si>
  <si>
    <t>0-9</t>
  </si>
  <si>
    <t>10-19</t>
  </si>
  <si>
    <t>20-29</t>
  </si>
  <si>
    <t>30-39</t>
  </si>
  <si>
    <t>40-49</t>
  </si>
  <si>
    <t>50-59</t>
  </si>
  <si>
    <t>60-69</t>
  </si>
  <si>
    <t>70-79</t>
  </si>
  <si>
    <t>Count of Age Group</t>
  </si>
  <si>
    <t>Male</t>
  </si>
  <si>
    <t>None</t>
  </si>
  <si>
    <t>On time</t>
  </si>
  <si>
    <t>Delay</t>
  </si>
  <si>
    <t>Female</t>
  </si>
  <si>
    <t>General Practice</t>
  </si>
  <si>
    <t>Orthopedics</t>
  </si>
  <si>
    <t>Cardiology</t>
  </si>
  <si>
    <t>Neurology</t>
  </si>
  <si>
    <t>Gastroenterology</t>
  </si>
  <si>
    <t>Physiotherapy</t>
  </si>
  <si>
    <t>age group wise analysis</t>
  </si>
  <si>
    <t>count of patient id</t>
  </si>
  <si>
    <t>Count of Patient Gender</t>
  </si>
  <si>
    <t>Count of Department Referral</t>
  </si>
  <si>
    <t>Renal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</si>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</sst>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6373BA"/>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NumberFormat="1"/>
    <xf numFmtId="10" fontId="0" fillId="0" borderId="0" xfId="0" applyNumberFormat="1"/>
    <xf numFmtId="0" fontId="1" fillId="3" borderId="0" xfId="0" applyFont="1" applyFill="1"/>
    <xf numFmtId="1" fontId="0" fillId="0" borderId="0" xfId="0" applyNumberFormat="1"/>
    <xf numFmtId="0" fontId="0" fillId="0" borderId="0" xfId="0" applyAlignment="1">
      <alignment horizontal="center"/>
    </xf>
  </cellXfs>
  <cellStyles count="1">
    <cellStyle name="Normal" xfId="0" builtinId="0"/>
  </cellStyles>
  <dxfs count="402">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alignment vertical="bottom"/>
    </dxf>
    <dxf>
      <alignment horizontal="center"/>
    </dxf>
    <dxf>
      <numFmt numFmtId="2" formatCode="0.00"/>
    </dxf>
    <dxf>
      <alignment vertical="bottom"/>
    </dxf>
    <dxf>
      <alignment horizontal="center"/>
    </dxf>
    <dxf>
      <numFmt numFmtId="2" formatCode="0.00"/>
    </dxf>
    <dxf>
      <alignment vertical="bottom"/>
    </dxf>
    <dxf>
      <alignment horizontal="center"/>
    </dxf>
    <dxf>
      <alignment horizontal="center"/>
    </dxf>
    <dxf>
      <alignment vertical="bottom"/>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border diagonalUp="0" diagonalDown="0">
        <left/>
        <right/>
        <top/>
        <bottom/>
        <vertical/>
        <horizontal/>
      </border>
    </dxf>
    <dxf>
      <border diagonalUp="0" diagonalDown="0">
        <left/>
        <right/>
        <top/>
        <bottom/>
        <vertical/>
        <horizontal/>
      </border>
    </dxf>
  </dxfs>
  <tableStyles count="2" defaultTableStyle="TableStyleMedium2" defaultPivotStyle="PivotStyleLight16">
    <tableStyle name="Slicer Style 1" pivot="0" table="0" count="1" xr9:uid="{5A541FA2-3570-4B51-89DA-E5D98F2DF782}">
      <tableStyleElement type="wholeTable" dxfId="401"/>
    </tableStyle>
    <tableStyle name="Slicer Style 2" pivot="0" table="0" count="1" xr9:uid="{A1AD020A-83AC-4AC0-8AA3-ECFEE5D86CF2}">
      <tableStyleElement type="wholeTable" dxfId="400"/>
    </tableStyle>
  </tableStyles>
  <colors>
    <mruColors>
      <color rgb="FF9E00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263099219620958"/>
          <c:w val="1"/>
          <c:h val="0.83422572178477694"/>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Report'!$E$4:$E$35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6-837A-46A2-9CAB-9519D2D27E97}"/>
            </c:ext>
          </c:extLst>
        </c:ser>
        <c:dLbls>
          <c:showLegendKey val="0"/>
          <c:showVal val="0"/>
          <c:showCatName val="0"/>
          <c:showSerName val="0"/>
          <c:showPercent val="0"/>
          <c:showBubbleSize val="0"/>
        </c:dLbls>
        <c:axId val="1802717167"/>
        <c:axId val="906777199"/>
      </c:areaChart>
      <c:catAx>
        <c:axId val="1802717167"/>
        <c:scaling>
          <c:orientation val="minMax"/>
        </c:scaling>
        <c:delete val="1"/>
        <c:axPos val="b"/>
        <c:numFmt formatCode="General" sourceLinked="1"/>
        <c:majorTickMark val="out"/>
        <c:minorTickMark val="none"/>
        <c:tickLblPos val="nextTo"/>
        <c:crossAx val="906777199"/>
        <c:crosses val="autoZero"/>
        <c:auto val="1"/>
        <c:lblAlgn val="ctr"/>
        <c:lblOffset val="100"/>
        <c:noMultiLvlLbl val="0"/>
      </c:catAx>
      <c:valAx>
        <c:axId val="906777199"/>
        <c:scaling>
          <c:orientation val="minMax"/>
        </c:scaling>
        <c:delete val="1"/>
        <c:axPos val="l"/>
        <c:numFmt formatCode="General" sourceLinked="1"/>
        <c:majorTickMark val="none"/>
        <c:minorTickMark val="none"/>
        <c:tickLblPos val="nextTo"/>
        <c:crossAx val="180271716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6481504649901999"/>
          <c:w val="0.97926612422493164"/>
          <c:h val="0.73064876329058814"/>
        </c:manualLayout>
      </c:layout>
      <c:areaChart>
        <c:grouping val="standard"/>
        <c:varyColors val="0"/>
        <c:ser>
          <c:idx val="0"/>
          <c:order val="0"/>
          <c:tx>
            <c:strRef>
              <c:f>'Pivot Report'!$H$3</c:f>
              <c:strCache>
                <c:ptCount val="1"/>
                <c:pt idx="0">
                  <c:v>Total</c:v>
                </c:pt>
              </c:strCache>
            </c:strRef>
          </c:tx>
          <c:spPr>
            <a:solidFill>
              <a:schemeClr val="accent1"/>
            </a:solidFill>
            <a:ln w="25400">
              <a:noFill/>
            </a:ln>
            <a:effectLst/>
          </c:spPr>
          <c:cat>
            <c:strRef>
              <c:f>'Pivot Report'!$G$4:$G$35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Report'!$H$4:$H$35</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7-284E-4C7C-AEA8-B65EE22F23CA}"/>
            </c:ext>
          </c:extLst>
        </c:ser>
        <c:dLbls>
          <c:showLegendKey val="0"/>
          <c:showVal val="0"/>
          <c:showCatName val="0"/>
          <c:showSerName val="0"/>
          <c:showPercent val="0"/>
          <c:showBubbleSize val="0"/>
        </c:dLbls>
        <c:axId val="871066543"/>
        <c:axId val="2118353712"/>
      </c:areaChart>
      <c:catAx>
        <c:axId val="871066543"/>
        <c:scaling>
          <c:orientation val="minMax"/>
        </c:scaling>
        <c:delete val="1"/>
        <c:axPos val="b"/>
        <c:numFmt formatCode="General" sourceLinked="1"/>
        <c:majorTickMark val="out"/>
        <c:minorTickMark val="none"/>
        <c:tickLblPos val="nextTo"/>
        <c:crossAx val="2118353712"/>
        <c:crosses val="autoZero"/>
        <c:auto val="1"/>
        <c:lblAlgn val="ctr"/>
        <c:lblOffset val="100"/>
        <c:noMultiLvlLbl val="0"/>
      </c:catAx>
      <c:valAx>
        <c:axId val="2118353712"/>
        <c:scaling>
          <c:orientation val="minMax"/>
        </c:scaling>
        <c:delete val="1"/>
        <c:axPos val="l"/>
        <c:numFmt formatCode="0.00" sourceLinked="1"/>
        <c:majorTickMark val="none"/>
        <c:minorTickMark val="none"/>
        <c:tickLblPos val="nextTo"/>
        <c:crossAx val="87106654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86079592408978E-2"/>
          <c:y val="0.19913803917352113"/>
          <c:w val="0.96867088061138651"/>
          <c:h val="0.80086196082647887"/>
        </c:manualLayout>
      </c:layout>
      <c:areaChart>
        <c:grouping val="standard"/>
        <c:varyColors val="0"/>
        <c:ser>
          <c:idx val="0"/>
          <c:order val="0"/>
          <c:tx>
            <c:strRef>
              <c:f>'Pivot Report'!$K$3</c:f>
              <c:strCache>
                <c:ptCount val="1"/>
                <c:pt idx="0">
                  <c:v>Total</c:v>
                </c:pt>
              </c:strCache>
            </c:strRef>
          </c:tx>
          <c:spPr>
            <a:solidFill>
              <a:schemeClr val="accent1"/>
            </a:solidFill>
            <a:ln w="25400">
              <a:noFill/>
            </a:ln>
            <a:effectLst/>
          </c:spPr>
          <c:cat>
            <c:strRef>
              <c:f>'Pivot Report'!$J$4:$J$35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Report'!$K$4:$K$35</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7-E829-464C-AC2F-BB9A7AB5D08D}"/>
            </c:ext>
          </c:extLst>
        </c:ser>
        <c:dLbls>
          <c:showLegendKey val="0"/>
          <c:showVal val="0"/>
          <c:showCatName val="0"/>
          <c:showSerName val="0"/>
          <c:showPercent val="0"/>
          <c:showBubbleSize val="0"/>
        </c:dLbls>
        <c:axId val="1115925631"/>
        <c:axId val="1005720911"/>
      </c:areaChart>
      <c:catAx>
        <c:axId val="1115925631"/>
        <c:scaling>
          <c:orientation val="minMax"/>
        </c:scaling>
        <c:delete val="1"/>
        <c:axPos val="b"/>
        <c:numFmt formatCode="General" sourceLinked="1"/>
        <c:majorTickMark val="out"/>
        <c:minorTickMark val="none"/>
        <c:tickLblPos val="nextTo"/>
        <c:crossAx val="1005720911"/>
        <c:crosses val="autoZero"/>
        <c:auto val="1"/>
        <c:lblAlgn val="ctr"/>
        <c:lblOffset val="100"/>
        <c:noMultiLvlLbl val="0"/>
      </c:catAx>
      <c:valAx>
        <c:axId val="1005720911"/>
        <c:scaling>
          <c:orientation val="minMax"/>
        </c:scaling>
        <c:delete val="1"/>
        <c:axPos val="l"/>
        <c:numFmt formatCode="0.00" sourceLinked="1"/>
        <c:majorTickMark val="none"/>
        <c:minorTickMark val="none"/>
        <c:tickLblPos val="nextTo"/>
        <c:crossAx val="1115925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Report!PivotTable9</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NO</a:t>
            </a:r>
            <a:r>
              <a:rPr lang="en-US" sz="1200" baseline="0"/>
              <a:t> OF PATIENT BY AGE GROUP</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Report'!$A$66:$A$74</c:f>
              <c:strCache>
                <c:ptCount val="8"/>
                <c:pt idx="0">
                  <c:v>0-9</c:v>
                </c:pt>
                <c:pt idx="1">
                  <c:v>10-19</c:v>
                </c:pt>
                <c:pt idx="2">
                  <c:v>20-29</c:v>
                </c:pt>
                <c:pt idx="3">
                  <c:v>30-39</c:v>
                </c:pt>
                <c:pt idx="4">
                  <c:v>40-49</c:v>
                </c:pt>
                <c:pt idx="5">
                  <c:v>50-59</c:v>
                </c:pt>
                <c:pt idx="6">
                  <c:v>60-69</c:v>
                </c:pt>
                <c:pt idx="7">
                  <c:v>70-79</c:v>
                </c:pt>
              </c:strCache>
            </c:strRef>
          </c:cat>
          <c:val>
            <c:numRef>
              <c:f>'Pivot Report'!$B$66:$B$74</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7-E6A8-47CA-99C3-91DB7328E4E5}"/>
            </c:ext>
          </c:extLst>
        </c:ser>
        <c:dLbls>
          <c:dLblPos val="inEnd"/>
          <c:showLegendKey val="0"/>
          <c:showVal val="1"/>
          <c:showCatName val="0"/>
          <c:showSerName val="0"/>
          <c:showPercent val="0"/>
          <c:showBubbleSize val="0"/>
        </c:dLbls>
        <c:gapWidth val="100"/>
        <c:overlap val="-24"/>
        <c:axId val="1074234159"/>
        <c:axId val="1005715151"/>
      </c:barChart>
      <c:catAx>
        <c:axId val="1074234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715151"/>
        <c:crosses val="autoZero"/>
        <c:auto val="1"/>
        <c:lblAlgn val="ctr"/>
        <c:lblOffset val="100"/>
        <c:noMultiLvlLbl val="0"/>
      </c:catAx>
      <c:valAx>
        <c:axId val="100571515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423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Report!PivotTable10</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Patient</a:t>
            </a:r>
            <a:r>
              <a:rPr lang="en-US" sz="1200" baseline="0"/>
              <a:t> attend status</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Report'!$B$80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Report'!$A$81:$A$83</c:f>
              <c:strCache>
                <c:ptCount val="2"/>
                <c:pt idx="0">
                  <c:v>Delay</c:v>
                </c:pt>
                <c:pt idx="1">
                  <c:v>On time</c:v>
                </c:pt>
              </c:strCache>
            </c:strRef>
          </c:cat>
          <c:val>
            <c:numRef>
              <c:f>'Pivot Report'!$B$81:$B$83</c:f>
              <c:numCache>
                <c:formatCode>0.00</c:formatCode>
                <c:ptCount val="2"/>
                <c:pt idx="0">
                  <c:v>312</c:v>
                </c:pt>
                <c:pt idx="1">
                  <c:v>194</c:v>
                </c:pt>
              </c:numCache>
            </c:numRef>
          </c:val>
          <c:extLst>
            <c:ext xmlns:c16="http://schemas.microsoft.com/office/drawing/2014/chart" uri="{C3380CC4-5D6E-409C-BE32-E72D297353CC}">
              <c16:uniqueId val="{0000000B-AF15-47F1-B4C4-E4EE1977359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Report!PivotTable11</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a:t>
            </a:r>
            <a:r>
              <a:rPr lang="en-US" sz="1100"/>
              <a:t>Count</a:t>
            </a:r>
            <a:r>
              <a:rPr lang="en-US" sz="1100" baseline="0"/>
              <a:t> patient by gender</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Report'!$B$86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Report'!$A$87:$A$89</c:f>
              <c:strCache>
                <c:ptCount val="2"/>
                <c:pt idx="0">
                  <c:v>Female</c:v>
                </c:pt>
                <c:pt idx="1">
                  <c:v>Male</c:v>
                </c:pt>
              </c:strCache>
            </c:strRef>
          </c:cat>
          <c:val>
            <c:numRef>
              <c:f>'Pivot Report'!$B$87:$B$89</c:f>
              <c:numCache>
                <c:formatCode>0.00</c:formatCode>
                <c:ptCount val="2"/>
                <c:pt idx="0">
                  <c:v>231</c:v>
                </c:pt>
                <c:pt idx="1">
                  <c:v>275</c:v>
                </c:pt>
              </c:numCache>
            </c:numRef>
          </c:val>
          <c:extLst>
            <c:ext xmlns:c16="http://schemas.microsoft.com/office/drawing/2014/chart" uri="{C3380CC4-5D6E-409C-BE32-E72D297353CC}">
              <c16:uniqueId val="{0000000B-F299-4271-A144-F72D543DCF8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Report!PivotTable12</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NO</a:t>
            </a:r>
            <a:r>
              <a:rPr lang="en-US" sz="1200" baseline="0"/>
              <a:t> of patient by department referal</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Report'!$B$93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Report'!$A$94:$A$102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Report'!$B$94:$B$102</c:f>
              <c:numCache>
                <c:formatCode>0.00</c:formatCode>
                <c:ptCount val="8"/>
                <c:pt idx="0">
                  <c:v>15</c:v>
                </c:pt>
                <c:pt idx="1">
                  <c:v>6</c:v>
                </c:pt>
                <c:pt idx="2">
                  <c:v>93</c:v>
                </c:pt>
                <c:pt idx="3">
                  <c:v>5</c:v>
                </c:pt>
                <c:pt idx="4">
                  <c:v>311</c:v>
                </c:pt>
                <c:pt idx="5">
                  <c:v>59</c:v>
                </c:pt>
                <c:pt idx="6">
                  <c:v>14</c:v>
                </c:pt>
                <c:pt idx="7">
                  <c:v>3</c:v>
                </c:pt>
              </c:numCache>
            </c:numRef>
          </c:val>
          <c:extLst>
            <c:ext xmlns:c16="http://schemas.microsoft.com/office/drawing/2014/chart" uri="{C3380CC4-5D6E-409C-BE32-E72D297353CC}">
              <c16:uniqueId val="{00000007-DB33-4DAB-8A14-8A045C7841A7}"/>
            </c:ext>
          </c:extLst>
        </c:ser>
        <c:dLbls>
          <c:showLegendKey val="0"/>
          <c:showVal val="0"/>
          <c:showCatName val="0"/>
          <c:showSerName val="0"/>
          <c:showPercent val="0"/>
          <c:showBubbleSize val="0"/>
        </c:dLbls>
        <c:gapWidth val="150"/>
        <c:shape val="box"/>
        <c:axId val="1352102223"/>
        <c:axId val="1005713711"/>
        <c:axId val="0"/>
      </c:bar3DChart>
      <c:catAx>
        <c:axId val="135210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713711"/>
        <c:crosses val="autoZero"/>
        <c:auto val="1"/>
        <c:lblAlgn val="ctr"/>
        <c:lblOffset val="100"/>
        <c:noMultiLvlLbl val="0"/>
      </c:catAx>
      <c:valAx>
        <c:axId val="1005713711"/>
        <c:scaling>
          <c:orientation val="minMax"/>
        </c:scaling>
        <c:delete val="0"/>
        <c:axPos val="b"/>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10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DALLY ER NO OF PATIENTS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93378226711557E-2"/>
          <c:y val="0.12263099219620958"/>
          <c:w val="0.87654320987654322"/>
          <c:h val="0.55681931898980852"/>
        </c:manualLayout>
      </c:layout>
      <c:areaChart>
        <c:grouping val="standard"/>
        <c:varyColors val="0"/>
        <c:ser>
          <c:idx val="0"/>
          <c:order val="0"/>
          <c:tx>
            <c:strRef>
              <c:f>'Pivot Report'!$E$3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Report'!$D$4:$D$35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Report'!$E$4:$E$35</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5-DCDE-47D1-A62F-C8A999BB8BBC}"/>
            </c:ext>
          </c:extLst>
        </c:ser>
        <c:dLbls>
          <c:showLegendKey val="0"/>
          <c:showVal val="1"/>
          <c:showCatName val="0"/>
          <c:showSerName val="0"/>
          <c:showPercent val="0"/>
          <c:showBubbleSize val="0"/>
        </c:dLbls>
        <c:axId val="1802717167"/>
        <c:axId val="906777199"/>
      </c:areaChart>
      <c:catAx>
        <c:axId val="180271716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777199"/>
        <c:crosses val="autoZero"/>
        <c:auto val="1"/>
        <c:lblAlgn val="ctr"/>
        <c:lblOffset val="100"/>
        <c:noMultiLvlLbl val="0"/>
      </c:catAx>
      <c:valAx>
        <c:axId val="9067771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2717167"/>
        <c:crosses val="autoZero"/>
        <c:crossBetween val="midCat"/>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Report!PivotTable6</c:name>
    <c:fmtId val="26"/>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PATIENT SATISFACTION SCORE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Report'!$K$3</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Report'!$J$4:$J$35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Report'!$K$4:$K$35</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7-7109-43DE-90E5-DF6DB399C36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15925631"/>
        <c:axId val="1005720911"/>
      </c:areaChart>
      <c:catAx>
        <c:axId val="1115925631"/>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05720911"/>
        <c:crosses val="autoZero"/>
        <c:auto val="1"/>
        <c:lblAlgn val="ctr"/>
        <c:lblOffset val="100"/>
        <c:noMultiLvlLbl val="0"/>
      </c:catAx>
      <c:valAx>
        <c:axId val="100572091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15925631"/>
        <c:crosses val="autoZero"/>
        <c:crossBetween val="midCat"/>
      </c:valAx>
      <c:dTable>
        <c:showHorzBorder val="1"/>
        <c:showVertBorder val="1"/>
        <c:showOutline val="1"/>
        <c:showKeys val="1"/>
        <c:spPr>
          <a:noFill/>
          <a:ln w="9525">
            <a:solidFill>
              <a:schemeClr val="lt1">
                <a:lumMod val="50000"/>
              </a:schemeClr>
            </a:solidFill>
          </a:ln>
          <a:effectLst/>
        </c:spPr>
        <c:txPr>
          <a:bodyPr rot="0" spcFirstLastPara="1" vertOverflow="ellipsis" vert="horz" wrap="square" anchor="ctr" anchorCtr="1"/>
          <a:lstStyle/>
          <a:p>
            <a:pPr rtl="0">
              <a:defRPr sz="900" b="0" i="0" u="none" strike="noStrike" kern="1200" baseline="0">
                <a:solidFill>
                  <a:schemeClr val="lt1">
                    <a:lumMod val="50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HEALTHCARE PROJECT.xlsx]Pivot Report!PivotTable5</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rgbClr val="9E0000"/>
                </a:solidFill>
              </a:rPr>
              <a:t>Averagr</a:t>
            </a:r>
            <a:r>
              <a:rPr lang="en-US" baseline="0">
                <a:solidFill>
                  <a:srgbClr val="9E0000"/>
                </a:solidFill>
              </a:rPr>
              <a:t> wait time</a:t>
            </a:r>
            <a:endParaRPr lang="en-US">
              <a:solidFill>
                <a:srgbClr val="9E0000"/>
              </a:solidFill>
            </a:endParaRPr>
          </a:p>
        </c:rich>
      </c:tx>
      <c:overlay val="0"/>
      <c:spPr>
        <a:solidFill>
          <a:schemeClr val="accent2"/>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Report'!$G$4:$G$35</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Report'!$H$4:$H$35</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6-7374-4DB9-B8E5-550819AFA9A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71066543"/>
        <c:axId val="2118353712"/>
      </c:areaChart>
      <c:catAx>
        <c:axId val="871066543"/>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18353712"/>
        <c:crosses val="autoZero"/>
        <c:auto val="1"/>
        <c:lblAlgn val="ctr"/>
        <c:lblOffset val="100"/>
        <c:noMultiLvlLbl val="0"/>
      </c:catAx>
      <c:valAx>
        <c:axId val="211835371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1066543"/>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hyperlink" Target="#'Dally ER no of patients'!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 dal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2</xdr:col>
      <xdr:colOff>1691640</xdr:colOff>
      <xdr:row>100</xdr:row>
      <xdr:rowOff>99061</xdr:rowOff>
    </xdr:from>
    <xdr:to>
      <xdr:col>3</xdr:col>
      <xdr:colOff>693420</xdr:colOff>
      <xdr:row>104</xdr:row>
      <xdr:rowOff>30480</xdr:rowOff>
    </xdr:to>
    <mc:AlternateContent xmlns:mc="http://schemas.openxmlformats.org/markup-compatibility/2006">
      <mc:Choice xmlns:a14="http://schemas.microsoft.com/office/drawing/2010/main" Requires="a14">
        <xdr:graphicFrame macro="">
          <xdr:nvGraphicFramePr>
            <xdr:cNvPr id="11" name="Date (Year)">
              <a:extLst>
                <a:ext uri="{FF2B5EF4-FFF2-40B4-BE49-F238E27FC236}">
                  <a16:creationId xmlns:a16="http://schemas.microsoft.com/office/drawing/2014/main" id="{BC25AF60-CDDE-4FFE-51BF-23F3525AF39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632960" y="18387061"/>
              <a:ext cx="99822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38024</xdr:colOff>
      <xdr:row>0</xdr:row>
      <xdr:rowOff>68734</xdr:rowOff>
    </xdr:from>
    <xdr:to>
      <xdr:col>5</xdr:col>
      <xdr:colOff>307879</xdr:colOff>
      <xdr:row>4</xdr:row>
      <xdr:rowOff>153940</xdr:rowOff>
    </xdr:to>
    <xdr:sp macro="" textlink="">
      <xdr:nvSpPr>
        <xdr:cNvPr id="3" name="Rectangle: Rounded Corners 2">
          <a:extLst>
            <a:ext uri="{FF2B5EF4-FFF2-40B4-BE49-F238E27FC236}">
              <a16:creationId xmlns:a16="http://schemas.microsoft.com/office/drawing/2014/main" id="{5434E69C-CFF0-1D15-819F-EADAB9B22B83}"/>
            </a:ext>
          </a:extLst>
        </xdr:cNvPr>
        <xdr:cNvSpPr/>
      </xdr:nvSpPr>
      <xdr:spPr>
        <a:xfrm>
          <a:off x="38024" y="68734"/>
          <a:ext cx="3310158" cy="82411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354062</xdr:colOff>
      <xdr:row>0</xdr:row>
      <xdr:rowOff>69273</xdr:rowOff>
    </xdr:from>
    <xdr:to>
      <xdr:col>7</xdr:col>
      <xdr:colOff>343194</xdr:colOff>
      <xdr:row>4</xdr:row>
      <xdr:rowOff>153940</xdr:rowOff>
    </xdr:to>
    <xdr:sp macro="" textlink="">
      <xdr:nvSpPr>
        <xdr:cNvPr id="4" name="Rectangle: Rounded Corners 3">
          <a:extLst>
            <a:ext uri="{FF2B5EF4-FFF2-40B4-BE49-F238E27FC236}">
              <a16:creationId xmlns:a16="http://schemas.microsoft.com/office/drawing/2014/main" id="{E40FB72B-0F9A-8668-ADB5-55E3E388600E}"/>
            </a:ext>
          </a:extLst>
        </xdr:cNvPr>
        <xdr:cNvSpPr/>
      </xdr:nvSpPr>
      <xdr:spPr>
        <a:xfrm>
          <a:off x="3394365" y="69273"/>
          <a:ext cx="1205253" cy="823576"/>
        </a:xfrm>
        <a:prstGeom prst="roundRect">
          <a:avLst>
            <a:gd name="adj" fmla="val 5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484910</xdr:colOff>
      <xdr:row>0</xdr:row>
      <xdr:rowOff>46182</xdr:rowOff>
    </xdr:from>
    <xdr:to>
      <xdr:col>10</xdr:col>
      <xdr:colOff>475130</xdr:colOff>
      <xdr:row>11</xdr:row>
      <xdr:rowOff>38485</xdr:rowOff>
    </xdr:to>
    <xdr:sp macro="" textlink="">
      <xdr:nvSpPr>
        <xdr:cNvPr id="5" name="Rectangle: Rounded Corners 4">
          <a:extLst>
            <a:ext uri="{FF2B5EF4-FFF2-40B4-BE49-F238E27FC236}">
              <a16:creationId xmlns:a16="http://schemas.microsoft.com/office/drawing/2014/main" id="{A7D2298E-25B1-7631-4E86-2501F2818D5B}"/>
            </a:ext>
          </a:extLst>
        </xdr:cNvPr>
        <xdr:cNvSpPr/>
      </xdr:nvSpPr>
      <xdr:spPr>
        <a:xfrm>
          <a:off x="4741334" y="46182"/>
          <a:ext cx="1814402" cy="2024303"/>
        </a:xfrm>
        <a:prstGeom prst="roundRect">
          <a:avLst>
            <a:gd name="adj" fmla="val 181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537792</xdr:colOff>
      <xdr:row>0</xdr:row>
      <xdr:rowOff>38485</xdr:rowOff>
    </xdr:from>
    <xdr:to>
      <xdr:col>13</xdr:col>
      <xdr:colOff>475553</xdr:colOff>
      <xdr:row>11</xdr:row>
      <xdr:rowOff>46182</xdr:rowOff>
    </xdr:to>
    <xdr:sp macro="" textlink="">
      <xdr:nvSpPr>
        <xdr:cNvPr id="6" name="Rectangle: Rounded Corners 5">
          <a:extLst>
            <a:ext uri="{FF2B5EF4-FFF2-40B4-BE49-F238E27FC236}">
              <a16:creationId xmlns:a16="http://schemas.microsoft.com/office/drawing/2014/main" id="{8163D877-8665-B028-E8A1-C667853A947A}"/>
            </a:ext>
          </a:extLst>
        </xdr:cNvPr>
        <xdr:cNvSpPr/>
      </xdr:nvSpPr>
      <xdr:spPr>
        <a:xfrm>
          <a:off x="6618398" y="38485"/>
          <a:ext cx="1761943" cy="2039697"/>
        </a:xfrm>
        <a:prstGeom prst="roundRect">
          <a:avLst>
            <a:gd name="adj" fmla="val 181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42541</xdr:colOff>
      <xdr:row>5</xdr:row>
      <xdr:rowOff>30789</xdr:rowOff>
    </xdr:from>
    <xdr:to>
      <xdr:col>1</xdr:col>
      <xdr:colOff>223213</xdr:colOff>
      <xdr:row>27</xdr:row>
      <xdr:rowOff>33465</xdr:rowOff>
    </xdr:to>
    <xdr:sp macro="" textlink="">
      <xdr:nvSpPr>
        <xdr:cNvPr id="7" name="Rectangle: Rounded Corners 6">
          <a:extLst>
            <a:ext uri="{FF2B5EF4-FFF2-40B4-BE49-F238E27FC236}">
              <a16:creationId xmlns:a16="http://schemas.microsoft.com/office/drawing/2014/main" id="{D64FFE37-AE77-3CAA-56B7-8E79022B6764}"/>
            </a:ext>
          </a:extLst>
        </xdr:cNvPr>
        <xdr:cNvSpPr/>
      </xdr:nvSpPr>
      <xdr:spPr>
        <a:xfrm>
          <a:off x="42541" y="954425"/>
          <a:ext cx="788733" cy="4066676"/>
        </a:xfrm>
        <a:prstGeom prst="roundRect">
          <a:avLst>
            <a:gd name="adj" fmla="val 5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345495</xdr:colOff>
      <xdr:row>5</xdr:row>
      <xdr:rowOff>26901</xdr:rowOff>
    </xdr:from>
    <xdr:to>
      <xdr:col>5</xdr:col>
      <xdr:colOff>326568</xdr:colOff>
      <xdr:row>11</xdr:row>
      <xdr:rowOff>10161</xdr:rowOff>
    </xdr:to>
    <xdr:grpSp>
      <xdr:nvGrpSpPr>
        <xdr:cNvPr id="24" name="Group 23">
          <a:extLst>
            <a:ext uri="{FF2B5EF4-FFF2-40B4-BE49-F238E27FC236}">
              <a16:creationId xmlns:a16="http://schemas.microsoft.com/office/drawing/2014/main" id="{B1D9348B-8CDF-B21D-31D3-A320EDDC0FC7}"/>
            </a:ext>
          </a:extLst>
        </xdr:cNvPr>
        <xdr:cNvGrpSpPr/>
      </xdr:nvGrpSpPr>
      <xdr:grpSpPr>
        <a:xfrm>
          <a:off x="956770" y="948000"/>
          <a:ext cx="2426172" cy="1088579"/>
          <a:chOff x="918012" y="825378"/>
          <a:chExt cx="2413338" cy="755123"/>
        </a:xfrm>
      </xdr:grpSpPr>
      <xdr:sp macro="" textlink="">
        <xdr:nvSpPr>
          <xdr:cNvPr id="8" name="Rectangle: Rounded Corners 7">
            <a:extLst>
              <a:ext uri="{FF2B5EF4-FFF2-40B4-BE49-F238E27FC236}">
                <a16:creationId xmlns:a16="http://schemas.microsoft.com/office/drawing/2014/main" id="{FBA2600C-753B-7C9A-D56B-BFC110BBB63F}"/>
              </a:ext>
            </a:extLst>
          </xdr:cNvPr>
          <xdr:cNvSpPr/>
        </xdr:nvSpPr>
        <xdr:spPr>
          <a:xfrm>
            <a:off x="918012" y="834191"/>
            <a:ext cx="1186552" cy="746310"/>
          </a:xfrm>
          <a:prstGeom prst="roundRect">
            <a:avLst>
              <a:gd name="adj" fmla="val 5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7206BA44-E289-C7F9-60C8-EDBDD0B5B810}"/>
              </a:ext>
            </a:extLst>
          </xdr:cNvPr>
          <xdr:cNvSpPr/>
        </xdr:nvSpPr>
        <xdr:spPr>
          <a:xfrm>
            <a:off x="2144798" y="825378"/>
            <a:ext cx="1186552" cy="746310"/>
          </a:xfrm>
          <a:prstGeom prst="roundRect">
            <a:avLst>
              <a:gd name="adj" fmla="val 5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393452</xdr:colOff>
      <xdr:row>5</xdr:row>
      <xdr:rowOff>15471</xdr:rowOff>
    </xdr:from>
    <xdr:to>
      <xdr:col>7</xdr:col>
      <xdr:colOff>340660</xdr:colOff>
      <xdr:row>11</xdr:row>
      <xdr:rowOff>2317</xdr:rowOff>
    </xdr:to>
    <xdr:sp macro="" textlink="">
      <xdr:nvSpPr>
        <xdr:cNvPr id="18" name="Rectangle: Rounded Corners 17">
          <a:extLst>
            <a:ext uri="{FF2B5EF4-FFF2-40B4-BE49-F238E27FC236}">
              <a16:creationId xmlns:a16="http://schemas.microsoft.com/office/drawing/2014/main" id="{F35CC43D-4084-182E-FF78-9839D9CA6D88}"/>
            </a:ext>
          </a:extLst>
        </xdr:cNvPr>
        <xdr:cNvSpPr/>
      </xdr:nvSpPr>
      <xdr:spPr>
        <a:xfrm>
          <a:off x="3441452" y="911942"/>
          <a:ext cx="1166408" cy="1062610"/>
        </a:xfrm>
        <a:prstGeom prst="roundRect">
          <a:avLst>
            <a:gd name="adj" fmla="val 5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309592</xdr:colOff>
      <xdr:row>16</xdr:row>
      <xdr:rowOff>115455</xdr:rowOff>
    </xdr:from>
    <xdr:to>
      <xdr:col>7</xdr:col>
      <xdr:colOff>330133</xdr:colOff>
      <xdr:row>27</xdr:row>
      <xdr:rowOff>48860</xdr:rowOff>
    </xdr:to>
    <xdr:sp macro="" textlink="">
      <xdr:nvSpPr>
        <xdr:cNvPr id="20" name="Rectangle: Rounded Corners 19">
          <a:extLst>
            <a:ext uri="{FF2B5EF4-FFF2-40B4-BE49-F238E27FC236}">
              <a16:creationId xmlns:a16="http://schemas.microsoft.com/office/drawing/2014/main" id="{1CF23B61-90FB-274F-179C-F84C522194AD}"/>
            </a:ext>
          </a:extLst>
        </xdr:cNvPr>
        <xdr:cNvSpPr/>
      </xdr:nvSpPr>
      <xdr:spPr>
        <a:xfrm>
          <a:off x="920780" y="3036455"/>
          <a:ext cx="3687666" cy="1941593"/>
        </a:xfrm>
        <a:prstGeom prst="roundRect">
          <a:avLst>
            <a:gd name="adj" fmla="val 5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347072</xdr:colOff>
      <xdr:row>11</xdr:row>
      <xdr:rowOff>53879</xdr:rowOff>
    </xdr:from>
    <xdr:to>
      <xdr:col>7</xdr:col>
      <xdr:colOff>340005</xdr:colOff>
      <xdr:row>16</xdr:row>
      <xdr:rowOff>29785</xdr:rowOff>
    </xdr:to>
    <xdr:sp macro="" textlink="">
      <xdr:nvSpPr>
        <xdr:cNvPr id="21" name="Rectangle: Rounded Corners 20">
          <a:extLst>
            <a:ext uri="{FF2B5EF4-FFF2-40B4-BE49-F238E27FC236}">
              <a16:creationId xmlns:a16="http://schemas.microsoft.com/office/drawing/2014/main" id="{B7278211-B682-159D-3E0F-04A303253E1B}"/>
            </a:ext>
          </a:extLst>
        </xdr:cNvPr>
        <xdr:cNvSpPr/>
      </xdr:nvSpPr>
      <xdr:spPr>
        <a:xfrm>
          <a:off x="956672" y="2026114"/>
          <a:ext cx="3650533" cy="872377"/>
        </a:xfrm>
        <a:prstGeom prst="roundRect">
          <a:avLst>
            <a:gd name="adj" fmla="val 583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469515</xdr:colOff>
      <xdr:row>11</xdr:row>
      <xdr:rowOff>107758</xdr:rowOff>
    </xdr:from>
    <xdr:to>
      <xdr:col>13</xdr:col>
      <xdr:colOff>484909</xdr:colOff>
      <xdr:row>27</xdr:row>
      <xdr:rowOff>169334</xdr:rowOff>
    </xdr:to>
    <xdr:sp macro="" textlink="">
      <xdr:nvSpPr>
        <xdr:cNvPr id="22" name="Rectangle: Rounded Corners 21">
          <a:extLst>
            <a:ext uri="{FF2B5EF4-FFF2-40B4-BE49-F238E27FC236}">
              <a16:creationId xmlns:a16="http://schemas.microsoft.com/office/drawing/2014/main" id="{FD3F3B1F-6F65-87F3-6FD3-C55141BA4ADC}"/>
            </a:ext>
          </a:extLst>
        </xdr:cNvPr>
        <xdr:cNvSpPr/>
      </xdr:nvSpPr>
      <xdr:spPr>
        <a:xfrm>
          <a:off x="4725939" y="2139758"/>
          <a:ext cx="3663758" cy="301721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vv</a:t>
          </a:r>
        </a:p>
      </xdr:txBody>
    </xdr:sp>
    <xdr:clientData/>
  </xdr:twoCellAnchor>
  <xdr:twoCellAnchor editAs="absolute">
    <xdr:from>
      <xdr:col>1</xdr:col>
      <xdr:colOff>146051</xdr:colOff>
      <xdr:row>1</xdr:row>
      <xdr:rowOff>50800</xdr:rowOff>
    </xdr:from>
    <xdr:to>
      <xdr:col>5</xdr:col>
      <xdr:colOff>284789</xdr:colOff>
      <xdr:row>2</xdr:row>
      <xdr:rowOff>95250</xdr:rowOff>
    </xdr:to>
    <xdr:sp macro="" textlink="">
      <xdr:nvSpPr>
        <xdr:cNvPr id="25" name="TextBox 24">
          <a:extLst>
            <a:ext uri="{FF2B5EF4-FFF2-40B4-BE49-F238E27FC236}">
              <a16:creationId xmlns:a16="http://schemas.microsoft.com/office/drawing/2014/main" id="{74559F59-0C08-333A-DF94-AD22E0AEC586}"/>
            </a:ext>
          </a:extLst>
        </xdr:cNvPr>
        <xdr:cNvSpPr txBox="1"/>
      </xdr:nvSpPr>
      <xdr:spPr>
        <a:xfrm>
          <a:off x="755651" y="234950"/>
          <a:ext cx="257713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r>
            <a:rPr lang="en-IN" sz="1200" b="1"/>
            <a:t>Hospital</a:t>
          </a:r>
          <a:r>
            <a:rPr lang="en-IN" sz="1200" b="1" baseline="0"/>
            <a:t> Emergency Room Dashboard</a:t>
          </a:r>
          <a:endParaRPr lang="en-IN" sz="1200" b="1"/>
        </a:p>
      </xdr:txBody>
    </xdr:sp>
    <xdr:clientData/>
  </xdr:twoCellAnchor>
  <xdr:twoCellAnchor editAs="oneCell">
    <xdr:from>
      <xdr:col>0</xdr:col>
      <xdr:colOff>38100</xdr:colOff>
      <xdr:row>0</xdr:row>
      <xdr:rowOff>88900</xdr:rowOff>
    </xdr:from>
    <xdr:to>
      <xdr:col>1</xdr:col>
      <xdr:colOff>336550</xdr:colOff>
      <xdr:row>4</xdr:row>
      <xdr:rowOff>146050</xdr:rowOff>
    </xdr:to>
    <xdr:pic>
      <xdr:nvPicPr>
        <xdr:cNvPr id="27" name="Picture 26">
          <a:extLst>
            <a:ext uri="{FF2B5EF4-FFF2-40B4-BE49-F238E27FC236}">
              <a16:creationId xmlns:a16="http://schemas.microsoft.com/office/drawing/2014/main" id="{541C48F2-F5C2-A281-C0D7-30D33A559D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88900"/>
          <a:ext cx="908050" cy="793750"/>
        </a:xfrm>
        <a:prstGeom prst="rect">
          <a:avLst/>
        </a:prstGeom>
      </xdr:spPr>
    </xdr:pic>
    <xdr:clientData/>
  </xdr:twoCellAnchor>
  <xdr:twoCellAnchor editAs="absolute">
    <xdr:from>
      <xdr:col>2</xdr:col>
      <xdr:colOff>126999</xdr:colOff>
      <xdr:row>2</xdr:row>
      <xdr:rowOff>57150</xdr:rowOff>
    </xdr:from>
    <xdr:to>
      <xdr:col>4</xdr:col>
      <xdr:colOff>44450</xdr:colOff>
      <xdr:row>3</xdr:row>
      <xdr:rowOff>101600</xdr:rowOff>
    </xdr:to>
    <xdr:sp macro="" textlink="">
      <xdr:nvSpPr>
        <xdr:cNvPr id="29" name="TextBox 28">
          <a:extLst>
            <a:ext uri="{FF2B5EF4-FFF2-40B4-BE49-F238E27FC236}">
              <a16:creationId xmlns:a16="http://schemas.microsoft.com/office/drawing/2014/main" id="{EC01D882-B291-3F31-76A6-1846BFC17AC0}"/>
            </a:ext>
          </a:extLst>
        </xdr:cNvPr>
        <xdr:cNvSpPr txBox="1"/>
      </xdr:nvSpPr>
      <xdr:spPr>
        <a:xfrm>
          <a:off x="1346199" y="425450"/>
          <a:ext cx="113665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r>
            <a:rPr lang="en-IN" sz="900" b="1"/>
            <a:t>Monthly</a:t>
          </a:r>
          <a:r>
            <a:rPr lang="en-IN" sz="900" b="1" baseline="0"/>
            <a:t> Report</a:t>
          </a:r>
          <a:endParaRPr lang="en-IN" sz="900" b="1"/>
        </a:p>
      </xdr:txBody>
    </xdr:sp>
    <xdr:clientData/>
  </xdr:twoCellAnchor>
  <xdr:twoCellAnchor editAs="absolute">
    <xdr:from>
      <xdr:col>1</xdr:col>
      <xdr:colOff>330200</xdr:colOff>
      <xdr:row>7</xdr:row>
      <xdr:rowOff>50800</xdr:rowOff>
    </xdr:from>
    <xdr:to>
      <xdr:col>3</xdr:col>
      <xdr:colOff>273049</xdr:colOff>
      <xdr:row>8</xdr:row>
      <xdr:rowOff>76200</xdr:rowOff>
    </xdr:to>
    <xdr:sp macro="" textlink="">
      <xdr:nvSpPr>
        <xdr:cNvPr id="30" name="TextBox 29">
          <a:extLst>
            <a:ext uri="{FF2B5EF4-FFF2-40B4-BE49-F238E27FC236}">
              <a16:creationId xmlns:a16="http://schemas.microsoft.com/office/drawing/2014/main" id="{0CA4BBB4-9F08-ACA5-C5AF-923133406EDB}"/>
            </a:ext>
          </a:extLst>
        </xdr:cNvPr>
        <xdr:cNvSpPr txBox="1"/>
      </xdr:nvSpPr>
      <xdr:spPr>
        <a:xfrm>
          <a:off x="939800" y="1339850"/>
          <a:ext cx="116204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pPr algn="ctr"/>
          <a:r>
            <a:rPr lang="en-IN" sz="900" b="1"/>
            <a:t>No</a:t>
          </a:r>
          <a:r>
            <a:rPr lang="en-IN" sz="900" b="1" baseline="0"/>
            <a:t> of Patient</a:t>
          </a:r>
          <a:endParaRPr lang="en-IN" sz="900" b="1"/>
        </a:p>
      </xdr:txBody>
    </xdr:sp>
    <xdr:clientData/>
  </xdr:twoCellAnchor>
  <xdr:twoCellAnchor editAs="absolute">
    <xdr:from>
      <xdr:col>1</xdr:col>
      <xdr:colOff>317500</xdr:colOff>
      <xdr:row>6</xdr:row>
      <xdr:rowOff>57150</xdr:rowOff>
    </xdr:from>
    <xdr:to>
      <xdr:col>3</xdr:col>
      <xdr:colOff>260349</xdr:colOff>
      <xdr:row>7</xdr:row>
      <xdr:rowOff>63500</xdr:rowOff>
    </xdr:to>
    <xdr:sp macro="" textlink="'Pivot Report'!A4">
      <xdr:nvSpPr>
        <xdr:cNvPr id="31" name="TextBox 30">
          <a:extLst>
            <a:ext uri="{FF2B5EF4-FFF2-40B4-BE49-F238E27FC236}">
              <a16:creationId xmlns:a16="http://schemas.microsoft.com/office/drawing/2014/main" id="{AEEBB493-1900-0B41-28EF-3F599AE29629}"/>
            </a:ext>
          </a:extLst>
        </xdr:cNvPr>
        <xdr:cNvSpPr txBox="1"/>
      </xdr:nvSpPr>
      <xdr:spPr>
        <a:xfrm>
          <a:off x="927100" y="1162050"/>
          <a:ext cx="116204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pPr algn="ctr"/>
          <a:fld id="{221A0ECE-24CC-44C7-B0CE-F394B62B16DB}" type="TxLink">
            <a:rPr lang="en-US" sz="1100" b="1" i="0" u="none" strike="noStrike">
              <a:solidFill>
                <a:srgbClr val="000000"/>
              </a:solidFill>
              <a:latin typeface="Calibri"/>
              <a:ea typeface="Calibri"/>
              <a:cs typeface="Calibri"/>
            </a:rPr>
            <a:pPr algn="ctr"/>
            <a:t>506</a:t>
          </a:fld>
          <a:endParaRPr lang="en-IN" sz="900" b="1"/>
        </a:p>
      </xdr:txBody>
    </xdr:sp>
    <xdr:clientData/>
  </xdr:twoCellAnchor>
  <xdr:twoCellAnchor editAs="absolute">
    <xdr:from>
      <xdr:col>3</xdr:col>
      <xdr:colOff>355600</xdr:colOff>
      <xdr:row>7</xdr:row>
      <xdr:rowOff>50800</xdr:rowOff>
    </xdr:from>
    <xdr:to>
      <xdr:col>5</xdr:col>
      <xdr:colOff>298449</xdr:colOff>
      <xdr:row>8</xdr:row>
      <xdr:rowOff>76200</xdr:rowOff>
    </xdr:to>
    <xdr:sp macro="" textlink="">
      <xdr:nvSpPr>
        <xdr:cNvPr id="33" name="TextBox 32">
          <a:extLst>
            <a:ext uri="{FF2B5EF4-FFF2-40B4-BE49-F238E27FC236}">
              <a16:creationId xmlns:a16="http://schemas.microsoft.com/office/drawing/2014/main" id="{747C630D-6918-4724-8B37-25796FC01C5B}"/>
            </a:ext>
          </a:extLst>
        </xdr:cNvPr>
        <xdr:cNvSpPr txBox="1"/>
      </xdr:nvSpPr>
      <xdr:spPr>
        <a:xfrm>
          <a:off x="2184400" y="1339850"/>
          <a:ext cx="116204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pPr algn="ctr"/>
          <a:r>
            <a:rPr lang="en-IN" sz="900" b="1"/>
            <a:t>Average</a:t>
          </a:r>
          <a:r>
            <a:rPr lang="en-IN" sz="900" b="1" baseline="0"/>
            <a:t> Wait Time</a:t>
          </a:r>
          <a:endParaRPr lang="en-IN" sz="900" b="1"/>
        </a:p>
      </xdr:txBody>
    </xdr:sp>
    <xdr:clientData/>
  </xdr:twoCellAnchor>
  <xdr:twoCellAnchor editAs="absolute">
    <xdr:from>
      <xdr:col>3</xdr:col>
      <xdr:colOff>342900</xdr:colOff>
      <xdr:row>6</xdr:row>
      <xdr:rowOff>57150</xdr:rowOff>
    </xdr:from>
    <xdr:to>
      <xdr:col>5</xdr:col>
      <xdr:colOff>285749</xdr:colOff>
      <xdr:row>7</xdr:row>
      <xdr:rowOff>63500</xdr:rowOff>
    </xdr:to>
    <xdr:sp macro="" textlink="'Pivot Report'!A11">
      <xdr:nvSpPr>
        <xdr:cNvPr id="34" name="TextBox 33">
          <a:extLst>
            <a:ext uri="{FF2B5EF4-FFF2-40B4-BE49-F238E27FC236}">
              <a16:creationId xmlns:a16="http://schemas.microsoft.com/office/drawing/2014/main" id="{115944F0-5C17-2EFD-E685-89AF509C5340}"/>
            </a:ext>
          </a:extLst>
        </xdr:cNvPr>
        <xdr:cNvSpPr txBox="1"/>
      </xdr:nvSpPr>
      <xdr:spPr>
        <a:xfrm>
          <a:off x="2171700" y="1162050"/>
          <a:ext cx="116204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pPr algn="ctr"/>
          <a:fld id="{E2C095EB-A0BE-4124-8DA3-B37623E4EC3C}" type="TxLink">
            <a:rPr lang="en-US" sz="1100" b="1" i="0" u="none" strike="noStrike">
              <a:solidFill>
                <a:srgbClr val="000000"/>
              </a:solidFill>
              <a:latin typeface="Calibri"/>
              <a:ea typeface="Calibri"/>
              <a:cs typeface="Calibri"/>
            </a:rPr>
            <a:pPr algn="ctr"/>
            <a:t>35.88</a:t>
          </a:fld>
          <a:endParaRPr lang="en-IN" sz="900" b="1"/>
        </a:p>
      </xdr:txBody>
    </xdr:sp>
    <xdr:clientData/>
  </xdr:twoCellAnchor>
  <xdr:twoCellAnchor editAs="absolute">
    <xdr:from>
      <xdr:col>5</xdr:col>
      <xdr:colOff>374650</xdr:colOff>
      <xdr:row>7</xdr:row>
      <xdr:rowOff>50800</xdr:rowOff>
    </xdr:from>
    <xdr:to>
      <xdr:col>7</xdr:col>
      <xdr:colOff>317499</xdr:colOff>
      <xdr:row>8</xdr:row>
      <xdr:rowOff>146050</xdr:rowOff>
    </xdr:to>
    <xdr:sp macro="" textlink="">
      <xdr:nvSpPr>
        <xdr:cNvPr id="35" name="TextBox 34">
          <a:extLst>
            <a:ext uri="{FF2B5EF4-FFF2-40B4-BE49-F238E27FC236}">
              <a16:creationId xmlns:a16="http://schemas.microsoft.com/office/drawing/2014/main" id="{A1FBF137-D90B-D0DB-D416-8370791E51D6}"/>
            </a:ext>
          </a:extLst>
        </xdr:cNvPr>
        <xdr:cNvSpPr txBox="1"/>
      </xdr:nvSpPr>
      <xdr:spPr>
        <a:xfrm>
          <a:off x="3422650" y="1339850"/>
          <a:ext cx="1162049"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pPr algn="ctr"/>
          <a:r>
            <a:rPr lang="en-IN" sz="900" b="1"/>
            <a:t>Patient Satisfaction</a:t>
          </a:r>
          <a:r>
            <a:rPr lang="en-IN" sz="900" b="1" baseline="0"/>
            <a:t> Score</a:t>
          </a:r>
          <a:endParaRPr lang="en-IN" sz="900" b="1"/>
        </a:p>
      </xdr:txBody>
    </xdr:sp>
    <xdr:clientData/>
  </xdr:twoCellAnchor>
  <xdr:twoCellAnchor editAs="absolute">
    <xdr:from>
      <xdr:col>5</xdr:col>
      <xdr:colOff>361950</xdr:colOff>
      <xdr:row>6</xdr:row>
      <xdr:rowOff>57150</xdr:rowOff>
    </xdr:from>
    <xdr:to>
      <xdr:col>7</xdr:col>
      <xdr:colOff>304799</xdr:colOff>
      <xdr:row>7</xdr:row>
      <xdr:rowOff>63500</xdr:rowOff>
    </xdr:to>
    <xdr:sp macro="" textlink="'Pivot Report'!A19">
      <xdr:nvSpPr>
        <xdr:cNvPr id="36" name="TextBox 35">
          <a:extLst>
            <a:ext uri="{FF2B5EF4-FFF2-40B4-BE49-F238E27FC236}">
              <a16:creationId xmlns:a16="http://schemas.microsoft.com/office/drawing/2014/main" id="{D9CC401F-CF2E-84B6-D1F6-40A7E2E6E7D2}"/>
            </a:ext>
          </a:extLst>
        </xdr:cNvPr>
        <xdr:cNvSpPr txBox="1"/>
      </xdr:nvSpPr>
      <xdr:spPr>
        <a:xfrm>
          <a:off x="3409950" y="1162050"/>
          <a:ext cx="1162049"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pPr algn="ctr"/>
          <a:fld id="{B88E823B-FAA8-4A30-A23F-0FA83BD9E0D3}" type="TxLink">
            <a:rPr lang="en-US" sz="1100" b="1" i="0" u="none" strike="noStrike">
              <a:solidFill>
                <a:srgbClr val="000000"/>
              </a:solidFill>
              <a:latin typeface="Calibri"/>
              <a:ea typeface="Calibri"/>
              <a:cs typeface="Calibri"/>
            </a:rPr>
            <a:pPr algn="ctr"/>
            <a:t>5.33</a:t>
          </a:fld>
          <a:endParaRPr lang="en-IN" sz="900" b="1"/>
        </a:p>
      </xdr:txBody>
    </xdr:sp>
    <xdr:clientData/>
  </xdr:twoCellAnchor>
  <xdr:twoCellAnchor editAs="oneCell">
    <xdr:from>
      <xdr:col>2</xdr:col>
      <xdr:colOff>563880</xdr:colOff>
      <xdr:row>5</xdr:row>
      <xdr:rowOff>90170</xdr:rowOff>
    </xdr:from>
    <xdr:to>
      <xdr:col>3</xdr:col>
      <xdr:colOff>205740</xdr:colOff>
      <xdr:row>7</xdr:row>
      <xdr:rowOff>22860</xdr:rowOff>
    </xdr:to>
    <xdr:pic>
      <xdr:nvPicPr>
        <xdr:cNvPr id="38" name="Graphic 37" descr="Male profile with solid fill">
          <a:extLst>
            <a:ext uri="{FF2B5EF4-FFF2-40B4-BE49-F238E27FC236}">
              <a16:creationId xmlns:a16="http://schemas.microsoft.com/office/drawing/2014/main" id="{61DCC5BE-5EE4-87CB-152D-124A98CE561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83080" y="1004570"/>
          <a:ext cx="251460" cy="298450"/>
        </a:xfrm>
        <a:prstGeom prst="rect">
          <a:avLst/>
        </a:prstGeom>
      </xdr:spPr>
    </xdr:pic>
    <xdr:clientData/>
  </xdr:twoCellAnchor>
  <xdr:twoCellAnchor editAs="oneCell">
    <xdr:from>
      <xdr:col>7</xdr:col>
      <xdr:colOff>0</xdr:colOff>
      <xdr:row>5</xdr:row>
      <xdr:rowOff>59690</xdr:rowOff>
    </xdr:from>
    <xdr:to>
      <xdr:col>7</xdr:col>
      <xdr:colOff>266700</xdr:colOff>
      <xdr:row>7</xdr:row>
      <xdr:rowOff>0</xdr:rowOff>
    </xdr:to>
    <xdr:pic>
      <xdr:nvPicPr>
        <xdr:cNvPr id="40" name="Graphic 39" descr="Customer review with solid fill">
          <a:extLst>
            <a:ext uri="{FF2B5EF4-FFF2-40B4-BE49-F238E27FC236}">
              <a16:creationId xmlns:a16="http://schemas.microsoft.com/office/drawing/2014/main" id="{E097F476-CF78-6863-68D7-C239B7531A6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67200" y="974090"/>
          <a:ext cx="266700" cy="306070"/>
        </a:xfrm>
        <a:prstGeom prst="rect">
          <a:avLst/>
        </a:prstGeom>
      </xdr:spPr>
    </xdr:pic>
    <xdr:clientData/>
  </xdr:twoCellAnchor>
  <xdr:twoCellAnchor editAs="oneCell">
    <xdr:from>
      <xdr:col>4</xdr:col>
      <xdr:colOff>566464</xdr:colOff>
      <xdr:row>5</xdr:row>
      <xdr:rowOff>83820</xdr:rowOff>
    </xdr:from>
    <xdr:to>
      <xdr:col>5</xdr:col>
      <xdr:colOff>266699</xdr:colOff>
      <xdr:row>7</xdr:row>
      <xdr:rowOff>0</xdr:rowOff>
    </xdr:to>
    <xdr:pic>
      <xdr:nvPicPr>
        <xdr:cNvPr id="42" name="Graphic 41" descr="Hourglass Finished with solid fill">
          <a:extLst>
            <a:ext uri="{FF2B5EF4-FFF2-40B4-BE49-F238E27FC236}">
              <a16:creationId xmlns:a16="http://schemas.microsoft.com/office/drawing/2014/main" id="{C5E09658-E061-105A-7BE2-1B5F48D3916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04864" y="998220"/>
          <a:ext cx="309835" cy="281940"/>
        </a:xfrm>
        <a:prstGeom prst="rect">
          <a:avLst/>
        </a:prstGeom>
      </xdr:spPr>
    </xdr:pic>
    <xdr:clientData/>
  </xdr:twoCellAnchor>
  <xdr:twoCellAnchor editAs="oneCell">
    <xdr:from>
      <xdr:col>0</xdr:col>
      <xdr:colOff>41689</xdr:colOff>
      <xdr:row>5</xdr:row>
      <xdr:rowOff>30480</xdr:rowOff>
    </xdr:from>
    <xdr:to>
      <xdr:col>1</xdr:col>
      <xdr:colOff>245089</xdr:colOff>
      <xdr:row>27</xdr:row>
      <xdr:rowOff>30480</xdr:rowOff>
    </xdr:to>
    <mc:AlternateContent xmlns:mc="http://schemas.openxmlformats.org/markup-compatibility/2006" xmlns:a14="http://schemas.microsoft.com/office/drawing/2010/main">
      <mc:Choice Requires="a14">
        <xdr:graphicFrame macro="">
          <xdr:nvGraphicFramePr>
            <xdr:cNvPr id="2" name="Date (Month) 1">
              <a:extLst>
                <a:ext uri="{FF2B5EF4-FFF2-40B4-BE49-F238E27FC236}">
                  <a16:creationId xmlns:a16="http://schemas.microsoft.com/office/drawing/2014/main" id="{7CC22415-ABBC-4D1F-8620-B91F6D8FD321}"/>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41689" y="990600"/>
              <a:ext cx="813000" cy="3916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330200</xdr:colOff>
      <xdr:row>8</xdr:row>
      <xdr:rowOff>101600</xdr:rowOff>
    </xdr:from>
    <xdr:to>
      <xdr:col>3</xdr:col>
      <xdr:colOff>321733</xdr:colOff>
      <xdr:row>11</xdr:row>
      <xdr:rowOff>25400</xdr:rowOff>
    </xdr:to>
    <xdr:graphicFrame macro="">
      <xdr:nvGraphicFramePr>
        <xdr:cNvPr id="9" name="Chart 8">
          <a:hlinkClick xmlns:r="http://schemas.openxmlformats.org/officeDocument/2006/relationships" r:id="rId8"/>
          <a:extLst>
            <a:ext uri="{FF2B5EF4-FFF2-40B4-BE49-F238E27FC236}">
              <a16:creationId xmlns:a16="http://schemas.microsoft.com/office/drawing/2014/main" id="{07FA8DDC-E0AC-45C4-843F-FF92E3C8D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361757</xdr:colOff>
      <xdr:row>8</xdr:row>
      <xdr:rowOff>38485</xdr:rowOff>
    </xdr:from>
    <xdr:to>
      <xdr:col>5</xdr:col>
      <xdr:colOff>330970</xdr:colOff>
      <xdr:row>11</xdr:row>
      <xdr:rowOff>7697</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8C5FFC89-0C7D-48C2-A785-0C9700179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369455</xdr:colOff>
      <xdr:row>9</xdr:row>
      <xdr:rowOff>0</xdr:rowOff>
    </xdr:from>
    <xdr:to>
      <xdr:col>7</xdr:col>
      <xdr:colOff>369455</xdr:colOff>
      <xdr:row>11</xdr:row>
      <xdr:rowOff>7697</xdr:rowOff>
    </xdr:to>
    <xdr:graphicFrame macro="">
      <xdr:nvGraphicFramePr>
        <xdr:cNvPr id="11" name="Chart 10">
          <a:hlinkClick xmlns:r="http://schemas.openxmlformats.org/officeDocument/2006/relationships" r:id="rId12"/>
          <a:extLst>
            <a:ext uri="{FF2B5EF4-FFF2-40B4-BE49-F238E27FC236}">
              <a16:creationId xmlns:a16="http://schemas.microsoft.com/office/drawing/2014/main" id="{6F13602D-9F2F-467C-BFC7-E127BBE4D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358589</xdr:colOff>
          <xdr:row>11</xdr:row>
          <xdr:rowOff>71621</xdr:rowOff>
        </xdr:from>
        <xdr:to>
          <xdr:col>7</xdr:col>
          <xdr:colOff>349625</xdr:colOff>
          <xdr:row>16</xdr:row>
          <xdr:rowOff>51062</xdr:rowOff>
        </xdr:to>
        <xdr:pic>
          <xdr:nvPicPr>
            <xdr:cNvPr id="49" name="Picture 48">
              <a:extLst>
                <a:ext uri="{FF2B5EF4-FFF2-40B4-BE49-F238E27FC236}">
                  <a16:creationId xmlns:a16="http://schemas.microsoft.com/office/drawing/2014/main" id="{61A01A7A-C859-6903-ECC4-AFC3788281FB}"/>
                </a:ext>
              </a:extLst>
            </xdr:cNvPr>
            <xdr:cNvPicPr>
              <a:picLocks noChangeAspect="1" noChangeArrowheads="1"/>
              <a:extLst>
                <a:ext uri="{84589F7E-364E-4C9E-8A38-B11213B215E9}">
                  <a14:cameraTool cellRange="'Pivot Report'!$A$56:$C$58" spid="_x0000_s1051"/>
                </a:ext>
              </a:extLst>
            </xdr:cNvPicPr>
          </xdr:nvPicPr>
          <xdr:blipFill>
            <a:blip xmlns:r="http://schemas.openxmlformats.org/officeDocument/2006/relationships" r:embed="rId14"/>
            <a:srcRect/>
            <a:stretch>
              <a:fillRect/>
            </a:stretch>
          </xdr:blipFill>
          <xdr:spPr bwMode="auto">
            <a:xfrm>
              <a:off x="968189" y="2043856"/>
              <a:ext cx="3648636" cy="875912"/>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1</xdr:col>
      <xdr:colOff>313765</xdr:colOff>
      <xdr:row>16</xdr:row>
      <xdr:rowOff>107576</xdr:rowOff>
    </xdr:from>
    <xdr:to>
      <xdr:col>7</xdr:col>
      <xdr:colOff>331694</xdr:colOff>
      <xdr:row>27</xdr:row>
      <xdr:rowOff>44824</xdr:rowOff>
    </xdr:to>
    <xdr:graphicFrame macro="">
      <xdr:nvGraphicFramePr>
        <xdr:cNvPr id="50" name="Chart 49">
          <a:extLst>
            <a:ext uri="{FF2B5EF4-FFF2-40B4-BE49-F238E27FC236}">
              <a16:creationId xmlns:a16="http://schemas.microsoft.com/office/drawing/2014/main" id="{22D555BF-50F7-4895-A5DD-F6F9E5029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484910</xdr:colOff>
      <xdr:row>0</xdr:row>
      <xdr:rowOff>46181</xdr:rowOff>
    </xdr:from>
    <xdr:to>
      <xdr:col>10</xdr:col>
      <xdr:colOff>492606</xdr:colOff>
      <xdr:row>11</xdr:row>
      <xdr:rowOff>38485</xdr:rowOff>
    </xdr:to>
    <xdr:graphicFrame macro="">
      <xdr:nvGraphicFramePr>
        <xdr:cNvPr id="52" name="Chart 51">
          <a:extLst>
            <a:ext uri="{FF2B5EF4-FFF2-40B4-BE49-F238E27FC236}">
              <a16:creationId xmlns:a16="http://schemas.microsoft.com/office/drawing/2014/main" id="{1C1FD5A4-FA31-4BB7-8BC8-A6D7D25F1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537792</xdr:colOff>
      <xdr:row>0</xdr:row>
      <xdr:rowOff>53879</xdr:rowOff>
    </xdr:from>
    <xdr:to>
      <xdr:col>13</xdr:col>
      <xdr:colOff>477212</xdr:colOff>
      <xdr:row>11</xdr:row>
      <xdr:rowOff>46182</xdr:rowOff>
    </xdr:to>
    <xdr:graphicFrame macro="">
      <xdr:nvGraphicFramePr>
        <xdr:cNvPr id="53" name="Chart 52">
          <a:extLst>
            <a:ext uri="{FF2B5EF4-FFF2-40B4-BE49-F238E27FC236}">
              <a16:creationId xmlns:a16="http://schemas.microsoft.com/office/drawing/2014/main" id="{A511FCDC-91BA-4429-BD14-2BC6D4DA8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469515</xdr:colOff>
      <xdr:row>11</xdr:row>
      <xdr:rowOff>107758</xdr:rowOff>
    </xdr:from>
    <xdr:to>
      <xdr:col>13</xdr:col>
      <xdr:colOff>484909</xdr:colOff>
      <xdr:row>27</xdr:row>
      <xdr:rowOff>138546</xdr:rowOff>
    </xdr:to>
    <xdr:graphicFrame macro="">
      <xdr:nvGraphicFramePr>
        <xdr:cNvPr id="54" name="Chart 53">
          <a:extLst>
            <a:ext uri="{FF2B5EF4-FFF2-40B4-BE49-F238E27FC236}">
              <a16:creationId xmlns:a16="http://schemas.microsoft.com/office/drawing/2014/main" id="{71B26CAA-DF82-4E83-870B-42653EAEB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346364</xdr:colOff>
      <xdr:row>0</xdr:row>
      <xdr:rowOff>76970</xdr:rowOff>
    </xdr:from>
    <xdr:to>
      <xdr:col>7</xdr:col>
      <xdr:colOff>323273</xdr:colOff>
      <xdr:row>4</xdr:row>
      <xdr:rowOff>153939</xdr:rowOff>
    </xdr:to>
    <mc:AlternateContent xmlns:mc="http://schemas.openxmlformats.org/markup-compatibility/2006">
      <mc:Choice xmlns:a14="http://schemas.microsoft.com/office/drawing/2010/main" Requires="a14">
        <xdr:graphicFrame macro="">
          <xdr:nvGraphicFramePr>
            <xdr:cNvPr id="57" name="Date (Year) 1">
              <a:extLst>
                <a:ext uri="{FF2B5EF4-FFF2-40B4-BE49-F238E27FC236}">
                  <a16:creationId xmlns:a16="http://schemas.microsoft.com/office/drawing/2014/main" id="{D70FF195-37F0-457E-BFF6-7CC044D09452}"/>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402738" y="76970"/>
              <a:ext cx="1199458" cy="813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xdr:colOff>
      <xdr:row>0</xdr:row>
      <xdr:rowOff>0</xdr:rowOff>
    </xdr:from>
    <xdr:to>
      <xdr:col>18</xdr:col>
      <xdr:colOff>243840</xdr:colOff>
      <xdr:row>28</xdr:row>
      <xdr:rowOff>0</xdr:rowOff>
    </xdr:to>
    <xdr:graphicFrame macro="">
      <xdr:nvGraphicFramePr>
        <xdr:cNvPr id="2" name="Chart 1">
          <a:extLst>
            <a:ext uri="{FF2B5EF4-FFF2-40B4-BE49-F238E27FC236}">
              <a16:creationId xmlns:a16="http://schemas.microsoft.com/office/drawing/2014/main" id="{A62788D8-4D63-4E46-9556-C204D8431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327660</xdr:colOff>
      <xdr:row>30</xdr:row>
      <xdr:rowOff>60960</xdr:rowOff>
    </xdr:to>
    <xdr:graphicFrame macro="">
      <xdr:nvGraphicFramePr>
        <xdr:cNvPr id="2" name="Chart 1">
          <a:extLst>
            <a:ext uri="{FF2B5EF4-FFF2-40B4-BE49-F238E27FC236}">
              <a16:creationId xmlns:a16="http://schemas.microsoft.com/office/drawing/2014/main" id="{B37E5D7A-ECF1-46FA-A277-C0BA64C85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228600</xdr:colOff>
      <xdr:row>27</xdr:row>
      <xdr:rowOff>99060</xdr:rowOff>
    </xdr:to>
    <xdr:graphicFrame macro="">
      <xdr:nvGraphicFramePr>
        <xdr:cNvPr id="3" name="Chart 2">
          <a:extLst>
            <a:ext uri="{FF2B5EF4-FFF2-40B4-BE49-F238E27FC236}">
              <a16:creationId xmlns:a16="http://schemas.microsoft.com/office/drawing/2014/main" id="{15D538DA-9207-4B82-A401-04E15E81C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89814817" createdVersion="5" refreshedVersion="8" minRefreshableVersion="3" recordCount="0" supportSubquery="1" supportAdvancedDrill="1" xr:uid="{C11CEA27-B370-4934-A809-D29F23BB7D9A}">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89930556" createdVersion="5" refreshedVersion="8" minRefreshableVersion="3" recordCount="0" supportSubquery="1" supportAdvancedDrill="1" xr:uid="{80C5E8EA-583E-4715-8763-DA1B5576376C}">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016204" createdVersion="5" refreshedVersion="8" minRefreshableVersion="3" recordCount="0" supportSubquery="1" supportAdvancedDrill="1" xr:uid="{005E508D-E79A-4011-984E-14FB6285589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0277779" createdVersion="5" refreshedVersion="8" minRefreshableVersion="3" recordCount="0" supportSubquery="1" supportAdvancedDrill="1" xr:uid="{8D914EE4-C222-40F3-BE7E-F438E4618EC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0625002" createdVersion="5" refreshedVersion="8" minRefreshableVersion="3" recordCount="0" supportSubquery="1" supportAdvancedDrill="1" xr:uid="{F64FC984-EB80-4D6B-B3AB-F73FC0397F43}">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1319441" createdVersion="5" refreshedVersion="8" minRefreshableVersion="3" recordCount="0" supportSubquery="1" supportAdvancedDrill="1" xr:uid="{067F1C08-060A-415D-8F09-24609652B12F}">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1666665" createdVersion="5" refreshedVersion="8" minRefreshableVersion="3" recordCount="0" supportSubquery="1" supportAdvancedDrill="1" xr:uid="{7287D425-DB89-4E86-9DA2-D785D54CD608}">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247685" createdVersion="5" refreshedVersion="8" minRefreshableVersion="3" recordCount="0" supportSubquery="1" supportAdvancedDrill="1" xr:uid="{6D41CBE3-505A-4FDC-9E6C-9377B112E58E}">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2824073" createdVersion="5" refreshedVersion="8" minRefreshableVersion="3" recordCount="0" supportSubquery="1" supportAdvancedDrill="1" xr:uid="{3385CFA3-0D78-4C17-825A-7B75ACA13CE4}">
  <cacheSource type="external" connectionId="3"/>
  <cacheFields count="4">
    <cacheField name="[Calendar_Table].[Date (Month)].[Date (Month)]" caption="Date (Month)" numFmtId="0" hierarchy="1" level="1">
      <sharedItems containsSemiMixedTypes="0" containsNonDate="0" containsString="0"/>
    </cacheField>
    <cacheField name="[Measures].[Count of Calculated Column 1]" caption="Count of Calculated Column 1" numFmtId="0" hierarchy="32" level="32767"/>
    <cacheField name="[Hospital Emergency Room Data].[Calculated Column 1].[Calculated Column 1]" caption="Calculated Column 1" numFmtId="0" hierarchy="17" level="1">
      <sharedItems count="2">
        <s v="Delay"/>
        <s v="On time"/>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3287035" createdVersion="5" refreshedVersion="8" minRefreshableVersion="3" recordCount="0" supportSubquery="1" supportAdvancedDrill="1" xr:uid="{91608AE1-54B2-42C2-8411-E877A522DA44}">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4"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3518519" createdVersion="5" refreshedVersion="8" minRefreshableVersion="3" recordCount="0" supportSubquery="1" supportAdvancedDrill="1" xr:uid="{825FA008-76BB-40A0-AFEC-2C7CFE574A4A}">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5"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7139409722" createdVersion="5" refreshedVersion="8" minRefreshableVersion="3" recordCount="0" supportSubquery="1" supportAdvancedDrill="1" xr:uid="{BCF607C8-B584-453E-9F6D-6C87B3D60FFA}">
  <cacheSource type="external" connectionId="3"/>
  <cacheFields count="4">
    <cacheField name="[Calendar_Table].[Date (Month)].[Date (Month)]" caption="Date (Month)" numFmtId="0" hierarchy="1" level="1">
      <sharedItems count="1">
        <s v="Nov"/>
      </sharedItems>
    </cacheField>
    <cacheField name="[Calendar_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4"/>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DAN BARIKI" refreshedDate="46282.565789004628" createdVersion="3" refreshedVersion="8" minRefreshableVersion="3" recordCount="0" supportSubquery="1" supportAdvancedDrill="1" xr:uid="{FFDCA755-1A4B-4C4B-8021-3B674C170CB9}">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2]" caption="Count of Patient Admission Date.2" measure="1" displayFolder="" measureGroup="Hospital Emergency Room Data" count="0" hidden="1">
      <extLst>
        <ext xmlns:x15="http://schemas.microsoft.com/office/spreadsheetml/2010/11/main" uri="{B97F6D7D-B522-45F9-BDA1-12C45D357490}">
          <x15:cacheHierarchy aggregatedColumn="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71903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C4E05C-07A2-4FF2-9778-B07041B245AF}" name="PivotTable13" cacheId="4692" applyNumberFormats="0" applyBorderFormats="0" applyFontFormats="0" applyPatternFormats="0" applyAlignmentFormats="0" applyWidthHeightFormats="1" dataCaption="Values" tag="8f2bd9e9-9fa1-4a6e-a8f4-589d58d378c6" updatedVersion="8" minRefreshableVersion="3" subtotalHiddenItems="1" itemPrintTitles="1" createdVersion="5" indent="0" showHeaders="0" outline="1" outlineData="1" multipleFieldFilters="0" chartFormat="36">
  <location ref="A106:A107" firstHeaderRow="0" firstDataRow="0"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3">
    <format dxfId="380">
      <pivotArea outline="0" collapsedLevelsAreSubtotals="1" fieldPosition="0"/>
    </format>
    <format dxfId="381">
      <pivotArea dataOnly="0" labelOnly="1" outline="0" axis="axisValues" fieldPosition="0"/>
    </format>
    <format dxfId="382">
      <pivotArea dataOnly="0" labelOnly="1" outline="0" axis="axisValues" fieldPosition="0"/>
    </format>
  </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id"/>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A1F6B3-53C8-43E4-9EC1-808E84C8D8DA}" name="PivotTable12" cacheId="4689" applyNumberFormats="0" applyBorderFormats="0" applyFontFormats="0" applyPatternFormats="0" applyAlignmentFormats="0" applyWidthHeightFormats="1" dataCaption="Values" tag="8f2bd9e9-9fa1-4a6e-a8f4-589d58d378c6" updatedVersion="8" minRefreshableVersion="3" subtotalHiddenItems="1" itemPrintTitles="1" createdVersion="5" indent="0" showHeaders="0" outline="1" outlineData="1" multipleFieldFilters="0" chartFormat="36">
  <location ref="A93:B10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Department Referral" fld="1" subtotal="count" baseField="0" baseItem="0"/>
  </dataFields>
  <formats count="3">
    <format dxfId="383">
      <pivotArea outline="0" collapsedLevelsAreSubtotals="1" fieldPosition="0"/>
    </format>
    <format dxfId="384">
      <pivotArea dataOnly="0" labelOnly="1" outline="0" axis="axisValues" fieldPosition="0"/>
    </format>
    <format dxfId="385">
      <pivotArea dataOnly="0" labelOnly="1" outline="0" axis="axisValues" fieldPosition="0"/>
    </format>
  </formats>
  <chartFormats count="1">
    <chartFormat chart="3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D553E-C04B-4BFD-B36B-8B5C177C91E9}" name="PivotTable11" cacheId="4686" applyNumberFormats="0" applyBorderFormats="0" applyFontFormats="0" applyPatternFormats="0" applyAlignmentFormats="0" applyWidthHeightFormats="1" dataCaption="Values" tag="8f2bd9e9-9fa1-4a6e-a8f4-589d58d378c6" updatedVersion="8" minRefreshableVersion="3" subtotalHiddenItems="1" itemPrintTitles="1" createdVersion="5" indent="0" showHeaders="0" outline="1" outlineData="1" multipleFieldFilters="0" chartFormat="30">
  <location ref="A86:B8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3">
    <format dxfId="386">
      <pivotArea outline="0" collapsedLevelsAreSubtotals="1" fieldPosition="0"/>
    </format>
    <format dxfId="387">
      <pivotArea dataOnly="0" labelOnly="1" outline="0" axis="axisValues" fieldPosition="0"/>
    </format>
    <format dxfId="388">
      <pivotArea dataOnly="0" labelOnly="1" outline="0" axis="axisValues"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E8EAE1-3CD5-414A-9B05-9265A3ADB645}" name="PivotTable10" cacheId="4683" applyNumberFormats="0" applyBorderFormats="0" applyFontFormats="0" applyPatternFormats="0" applyAlignmentFormats="0" applyWidthHeightFormats="1" dataCaption="Values" tag="8f2bd9e9-9fa1-4a6e-a8f4-589d58d378c6" updatedVersion="8" minRefreshableVersion="3" subtotalHiddenItems="1" itemPrintTitles="1" createdVersion="5" indent="0" showHeaders="0" outline="1" outlineData="1" multipleFieldFilters="0" chartFormat="25">
  <location ref="A80:B8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2" baseItem="0"/>
  </dataFields>
  <formats count="3">
    <format dxfId="391">
      <pivotArea outline="0" collapsedLevelsAreSubtotals="1" fieldPosition="0"/>
    </format>
    <format dxfId="390">
      <pivotArea dataOnly="0" labelOnly="1" outline="0" axis="axisValues" fieldPosition="0"/>
    </format>
    <format dxfId="389">
      <pivotArea dataOnly="0" labelOnly="1" outline="0" axis="axisValues" fieldPosition="0"/>
    </format>
  </format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2" count="1" selected="0">
            <x v="0"/>
          </reference>
        </references>
      </pivotArea>
    </chartFormat>
    <chartFormat chart="23"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43894-2728-4509-B3B7-74A1F15CC45E}" name="PivotTable9" cacheId="4680" applyNumberFormats="0" applyBorderFormats="0" applyFontFormats="0" applyPatternFormats="0" applyAlignmentFormats="0" applyWidthHeightFormats="1" dataCaption="Values" tag="8f2bd9e9-9fa1-4a6e-a8f4-589d58d378c6" updatedVersion="8" minRefreshableVersion="3" subtotalHiddenItems="1" itemPrintTitles="1" createdVersion="5" indent="0" showHeaders="0" outline="1" outlineData="1" multipleFieldFilters="0" chartFormat="11">
  <location ref="A65: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393">
      <pivotArea outline="0" collapsedLevelsAreSubtotals="1" fieldPosition="0"/>
    </format>
    <format dxfId="392">
      <pivotArea collapsedLevelsAreSubtotals="1" fieldPosition="0">
        <references count="1">
          <reference field="1" count="0"/>
        </references>
      </pivotArea>
    </format>
  </formats>
  <chartFormats count="1">
    <chartFormat chart="10"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3EC32C-FAE8-4309-B638-AAB7AC39E05B}" name="PivotTable8" cacheId="4677" applyNumberFormats="0" applyBorderFormats="0" applyFontFormats="0" applyPatternFormats="0" applyAlignmentFormats="0" applyWidthHeightFormats="1" dataCaption="Values" tag="8f2bd9e9-9fa1-4a6e-a8f4-589d58d378c6" updatedVersion="8" minRefreshableVersion="3" subtotalHiddenItems="1" itemPrintTitles="1" createdVersion="5" indent="0" showHeaders="0" outline="1" outlineData="1" multipleFieldFilters="0" chartFormat="6">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394">
      <pivotArea outline="0" collapsedLevelsAreSubtotals="1" fieldPosition="0"/>
    </format>
    <format dxfId="395">
      <pivotArea outline="0" fieldPosition="0">
        <references count="1">
          <reference field="4294967294" count="1">
            <x v="1"/>
          </reference>
        </references>
      </pivotArea>
    </format>
  </formats>
  <pivotHierarchies count="37">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20816B-F31D-4FCE-9D74-2E33977E1BEF}" name="PivotTable6" cacheId="4674" applyNumberFormats="0" applyBorderFormats="0" applyFontFormats="0" applyPatternFormats="0" applyAlignmentFormats="0" applyWidthHeightFormats="1" dataCaption="Values" tag="0a9e5709-4fe8-42f6-8248-c6fbafa4a150" updatedVersion="8" minRefreshableVersion="3" subtotalHiddenItems="1" itemPrintTitles="1" createdVersion="5" indent="0" outline="1" outlineData="1" multipleFieldFilters="0" chartFormat="31">
  <location ref="J3:K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7"/>
  </dataFields>
  <formats count="1">
    <format dxfId="396">
      <pivotArea outline="0" collapsedLevelsAreSubtotals="1" fieldPosition="0"/>
    </format>
  </formats>
  <chartFormats count="3">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8116FB-11D8-4F4C-830A-8A5173885696}" name="PivotTable5" cacheId="4671" applyNumberFormats="0" applyBorderFormats="0" applyFontFormats="0" applyPatternFormats="0" applyAlignmentFormats="0" applyWidthHeightFormats="1" dataCaption="Values" tag="0a9e5709-4fe8-42f6-8248-c6fbafa4a150" updatedVersion="8" minRefreshableVersion="3" subtotalHiddenItems="1" itemPrintTitles="1" createdVersion="5" indent="0" outline="1" outlineData="1" multipleFieldFilters="0" chartFormat="23">
  <location ref="G3:H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97">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5BC0B8-5180-4C9A-9889-8069129691BF}" name="PivotTable1" cacheId="4662" applyNumberFormats="0" applyBorderFormats="0" applyFontFormats="0" applyPatternFormats="0" applyAlignmentFormats="0" applyWidthHeightFormats="1" dataCaption="Values" tag="0a3cf14b-c931-45e0-8a19-72b3c3cdd7aa"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2E9340-6872-4B2A-B9EE-1BB13CFA07C1}" name="PivotTable4" cacheId="4659" applyNumberFormats="0" applyBorderFormats="0" applyFontFormats="0" applyPatternFormats="0" applyAlignmentFormats="0" applyWidthHeightFormats="1" dataCaption="Values" tag="0a9e5709-4fe8-42f6-8248-c6fbafa4a150" updatedVersion="8" minRefreshableVersion="3" subtotalHiddenItems="1" itemPrintTitles="1" createdVersion="5" indent="0" outline="1" outlineData="1" multipleFieldFilters="0" chartFormat="13">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380745-F77E-4629-A937-8ED09D1F134C}" name="PivotTable3" cacheId="4668" applyNumberFormats="0" applyBorderFormats="0" applyFontFormats="0" applyPatternFormats="0" applyAlignmentFormats="0" applyWidthHeightFormats="1" dataCaption="Values" tag="8f2bd9e9-9fa1-4a6e-a8f4-589d58d378c6" updatedVersion="8" minRefreshableVersion="3" subtotalHiddenItems="1" itemPrintTitles="1" createdVersion="5"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98">
      <pivotArea outline="0" collapsedLevelsAreSubtotals="1" fieldPosition="0"/>
    </format>
  </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78F1C6-C8D9-466E-8991-107C8FE961AA}" name="PivotTable2" cacheId="4665" applyNumberFormats="0" applyBorderFormats="0" applyFontFormats="0" applyPatternFormats="0" applyAlignmentFormats="0" applyWidthHeightFormats="1" dataCaption="Values" tag="7319f324-c400-4e42-bf99-0bea2b94ca83"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99">
      <pivotArea outline="0" collapsedLevelsAreSubtotals="1" fieldPosition="0"/>
    </format>
  </formats>
  <pivotHierarchies count="36">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7F0DA00-EFB8-42E9-A640-A802878A2AD0}"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3719035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1D25614-7284-4660-B594-51BCA0A7253B}"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3719035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76470EA1-03D6-434D-8D38-2DD55C64F067}" cache="Slicer_Date__Year" caption="Date (Year)" showCaption="0" level="1"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7EACC42C-BB40-4E8A-A3F5-73C5C5FE4C33}" cache="Slicer_Date__Month" caption="Date (Month)" showCaption="0" level="1" style="SlicerStyleDark2" rowHeight="288000"/>
  <slicer name="Date (Year) 1" xr10:uid="{6C48DDA3-6BC7-43CE-BB0B-A787C3751404}" cache="Slicer_Date__Year" caption="Date (Year)" showCaption="0" level="1"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B2CC8-AA4A-4AC5-BDE2-D9A02E01BA87}">
  <dimension ref="A2:K107"/>
  <sheetViews>
    <sheetView workbookViewId="0">
      <selection activeCell="A106" sqref="A106"/>
    </sheetView>
  </sheetViews>
  <sheetFormatPr defaultRowHeight="14.4" x14ac:dyDescent="0.3"/>
  <cols>
    <col min="1" max="1" width="14.77734375" customWidth="1"/>
    <col min="2" max="2" width="28.109375" bestFit="1" customWidth="1"/>
    <col min="3" max="3" width="29.109375" bestFit="1" customWidth="1"/>
    <col min="4" max="4" width="17.109375" customWidth="1"/>
    <col min="5" max="5" width="23.88671875" bestFit="1" customWidth="1"/>
    <col min="7" max="7" width="15.6640625" bestFit="1" customWidth="1"/>
    <col min="8" max="8" width="23.88671875" bestFit="1" customWidth="1"/>
    <col min="10" max="10" width="21.88671875" bestFit="1" customWidth="1"/>
    <col min="11" max="11" width="29.21875" bestFit="1" customWidth="1"/>
  </cols>
  <sheetData>
    <row r="2" spans="1:11" x14ac:dyDescent="0.3">
      <c r="A2" t="s">
        <v>1</v>
      </c>
      <c r="D2" t="s">
        <v>6</v>
      </c>
      <c r="G2" t="s">
        <v>7</v>
      </c>
      <c r="J2" t="s">
        <v>39</v>
      </c>
    </row>
    <row r="3" spans="1:11" x14ac:dyDescent="0.3">
      <c r="A3" t="s">
        <v>0</v>
      </c>
      <c r="D3" s="1" t="s">
        <v>4</v>
      </c>
      <c r="E3" t="s">
        <v>0</v>
      </c>
      <c r="G3" s="1" t="s">
        <v>4</v>
      </c>
      <c r="H3" t="s">
        <v>2</v>
      </c>
      <c r="J3" s="1" t="s">
        <v>4</v>
      </c>
      <c r="K3" t="s">
        <v>3</v>
      </c>
    </row>
    <row r="4" spans="1:11" x14ac:dyDescent="0.3">
      <c r="A4" s="5">
        <v>506</v>
      </c>
      <c r="D4" s="4" t="s">
        <v>8</v>
      </c>
      <c r="E4" s="5">
        <v>19</v>
      </c>
      <c r="G4" s="4" t="s">
        <v>8</v>
      </c>
      <c r="H4" s="2">
        <v>34.526315789473685</v>
      </c>
      <c r="J4" s="4" t="s">
        <v>8</v>
      </c>
      <c r="K4" s="2">
        <v>7.2</v>
      </c>
    </row>
    <row r="5" spans="1:11" x14ac:dyDescent="0.3">
      <c r="D5" s="4" t="s">
        <v>9</v>
      </c>
      <c r="E5" s="5">
        <v>24</v>
      </c>
      <c r="G5" s="4" t="s">
        <v>9</v>
      </c>
      <c r="H5" s="2">
        <v>33.708333333333336</v>
      </c>
      <c r="J5" s="4" t="s">
        <v>9</v>
      </c>
      <c r="K5" s="2">
        <v>6</v>
      </c>
    </row>
    <row r="6" spans="1:11" x14ac:dyDescent="0.3">
      <c r="D6" s="4" t="s">
        <v>10</v>
      </c>
      <c r="E6" s="5">
        <v>24</v>
      </c>
      <c r="G6" s="4" t="s">
        <v>10</v>
      </c>
      <c r="H6" s="2">
        <v>36.291666666666664</v>
      </c>
      <c r="J6" s="4" t="s">
        <v>10</v>
      </c>
      <c r="K6" s="2">
        <v>1.5</v>
      </c>
    </row>
    <row r="7" spans="1:11" x14ac:dyDescent="0.3">
      <c r="D7" s="4" t="s">
        <v>11</v>
      </c>
      <c r="E7" s="5">
        <v>14</v>
      </c>
      <c r="G7" s="4" t="s">
        <v>11</v>
      </c>
      <c r="H7" s="2">
        <v>35.071428571428569</v>
      </c>
      <c r="J7" s="4" t="s">
        <v>11</v>
      </c>
      <c r="K7" s="2">
        <v>2.75</v>
      </c>
    </row>
    <row r="8" spans="1:11" x14ac:dyDescent="0.3">
      <c r="D8" s="4" t="s">
        <v>12</v>
      </c>
      <c r="E8" s="5">
        <v>14</v>
      </c>
      <c r="G8" s="4" t="s">
        <v>12</v>
      </c>
      <c r="H8" s="2">
        <v>31.571428571428573</v>
      </c>
      <c r="J8" s="4" t="s">
        <v>12</v>
      </c>
      <c r="K8" s="2">
        <v>5</v>
      </c>
    </row>
    <row r="9" spans="1:11" x14ac:dyDescent="0.3">
      <c r="D9" s="4" t="s">
        <v>13</v>
      </c>
      <c r="E9" s="5">
        <v>16</v>
      </c>
      <c r="G9" s="4" t="s">
        <v>13</v>
      </c>
      <c r="H9" s="2">
        <v>31.8125</v>
      </c>
      <c r="J9" s="4" t="s">
        <v>13</v>
      </c>
      <c r="K9" s="2">
        <v>5.5</v>
      </c>
    </row>
    <row r="10" spans="1:11" x14ac:dyDescent="0.3">
      <c r="A10" t="s">
        <v>2</v>
      </c>
      <c r="D10" s="4" t="s">
        <v>14</v>
      </c>
      <c r="E10" s="5">
        <v>26</v>
      </c>
      <c r="G10" s="4" t="s">
        <v>14</v>
      </c>
      <c r="H10" s="2">
        <v>36.846153846153847</v>
      </c>
      <c r="J10" s="4" t="s">
        <v>14</v>
      </c>
      <c r="K10" s="2">
        <v>5.0909090909090908</v>
      </c>
    </row>
    <row r="11" spans="1:11" x14ac:dyDescent="0.3">
      <c r="A11" s="2">
        <v>35.879446640316203</v>
      </c>
      <c r="D11" s="4" t="s">
        <v>15</v>
      </c>
      <c r="E11" s="5">
        <v>14</v>
      </c>
      <c r="G11" s="4" t="s">
        <v>15</v>
      </c>
      <c r="H11" s="2">
        <v>34.071428571428569</v>
      </c>
      <c r="J11" s="4" t="s">
        <v>15</v>
      </c>
      <c r="K11" s="2">
        <v>7.666666666666667</v>
      </c>
    </row>
    <row r="12" spans="1:11" x14ac:dyDescent="0.3">
      <c r="D12" s="4" t="s">
        <v>16</v>
      </c>
      <c r="E12" s="5">
        <v>22</v>
      </c>
      <c r="G12" s="4" t="s">
        <v>16</v>
      </c>
      <c r="H12" s="2">
        <v>33</v>
      </c>
      <c r="J12" s="4" t="s">
        <v>16</v>
      </c>
      <c r="K12" s="2">
        <v>3.5</v>
      </c>
    </row>
    <row r="13" spans="1:11" x14ac:dyDescent="0.3">
      <c r="D13" s="4" t="s">
        <v>17</v>
      </c>
      <c r="E13" s="5">
        <v>18</v>
      </c>
      <c r="G13" s="4" t="s">
        <v>17</v>
      </c>
      <c r="H13" s="2">
        <v>40.222222222222221</v>
      </c>
      <c r="J13" s="4" t="s">
        <v>17</v>
      </c>
      <c r="K13" s="2">
        <v>3.6666666666666665</v>
      </c>
    </row>
    <row r="14" spans="1:11" x14ac:dyDescent="0.3">
      <c r="D14" s="4" t="s">
        <v>18</v>
      </c>
      <c r="E14" s="5">
        <v>20</v>
      </c>
      <c r="G14" s="4" t="s">
        <v>18</v>
      </c>
      <c r="H14" s="2">
        <v>42.05</v>
      </c>
      <c r="J14" s="4" t="s">
        <v>18</v>
      </c>
      <c r="K14" s="2">
        <v>3.8</v>
      </c>
    </row>
    <row r="15" spans="1:11" x14ac:dyDescent="0.3">
      <c r="D15" s="4" t="s">
        <v>19</v>
      </c>
      <c r="E15" s="5">
        <v>13</v>
      </c>
      <c r="G15" s="4" t="s">
        <v>19</v>
      </c>
      <c r="H15" s="2">
        <v>42.615384615384613</v>
      </c>
      <c r="J15" s="4" t="s">
        <v>19</v>
      </c>
      <c r="K15" s="2">
        <v>1</v>
      </c>
    </row>
    <row r="16" spans="1:11" x14ac:dyDescent="0.3">
      <c r="D16" s="4" t="s">
        <v>20</v>
      </c>
      <c r="E16" s="5">
        <v>13</v>
      </c>
      <c r="G16" s="4" t="s">
        <v>20</v>
      </c>
      <c r="H16" s="2">
        <v>40.46153846153846</v>
      </c>
      <c r="J16" s="4" t="s">
        <v>20</v>
      </c>
      <c r="K16" s="2">
        <v>7</v>
      </c>
    </row>
    <row r="17" spans="1:11" x14ac:dyDescent="0.3">
      <c r="D17" s="4" t="s">
        <v>21</v>
      </c>
      <c r="E17" s="5">
        <v>14</v>
      </c>
      <c r="G17" s="4" t="s">
        <v>21</v>
      </c>
      <c r="H17" s="2">
        <v>34.071428571428569</v>
      </c>
      <c r="J17" s="4" t="s">
        <v>21</v>
      </c>
      <c r="K17" s="2">
        <v>5</v>
      </c>
    </row>
    <row r="18" spans="1:11" x14ac:dyDescent="0.3">
      <c r="A18" t="s">
        <v>3</v>
      </c>
      <c r="D18" s="4" t="s">
        <v>22</v>
      </c>
      <c r="E18" s="5">
        <v>13</v>
      </c>
      <c r="G18" s="4" t="s">
        <v>22</v>
      </c>
      <c r="H18" s="2">
        <v>33.92307692307692</v>
      </c>
      <c r="J18" s="4" t="s">
        <v>22</v>
      </c>
      <c r="K18" s="2">
        <v>4.25</v>
      </c>
    </row>
    <row r="19" spans="1:11" x14ac:dyDescent="0.3">
      <c r="A19" s="2">
        <v>5.3277310924369745</v>
      </c>
      <c r="D19" s="4" t="s">
        <v>23</v>
      </c>
      <c r="E19" s="5">
        <v>18</v>
      </c>
      <c r="G19" s="4" t="s">
        <v>23</v>
      </c>
      <c r="H19" s="2">
        <v>43.166666666666664</v>
      </c>
      <c r="J19" s="4" t="s">
        <v>23</v>
      </c>
      <c r="K19" s="2">
        <v>4</v>
      </c>
    </row>
    <row r="20" spans="1:11" x14ac:dyDescent="0.3">
      <c r="D20" s="4" t="s">
        <v>24</v>
      </c>
      <c r="E20" s="5">
        <v>12</v>
      </c>
      <c r="G20" s="4" t="s">
        <v>24</v>
      </c>
      <c r="H20" s="2">
        <v>42.25</v>
      </c>
      <c r="J20" s="4" t="s">
        <v>24</v>
      </c>
      <c r="K20" s="2">
        <v>7.333333333333333</v>
      </c>
    </row>
    <row r="21" spans="1:11" x14ac:dyDescent="0.3">
      <c r="D21" s="4" t="s">
        <v>25</v>
      </c>
      <c r="E21" s="5">
        <v>11</v>
      </c>
      <c r="G21" s="4" t="s">
        <v>25</v>
      </c>
      <c r="H21" s="2">
        <v>44.090909090909093</v>
      </c>
      <c r="J21" s="4" t="s">
        <v>25</v>
      </c>
      <c r="K21" s="2">
        <v>9</v>
      </c>
    </row>
    <row r="22" spans="1:11" x14ac:dyDescent="0.3">
      <c r="D22" s="4" t="s">
        <v>26</v>
      </c>
      <c r="E22" s="5">
        <v>14</v>
      </c>
      <c r="G22" s="4" t="s">
        <v>26</v>
      </c>
      <c r="H22" s="2">
        <v>39</v>
      </c>
      <c r="J22" s="4" t="s">
        <v>26</v>
      </c>
      <c r="K22" s="2">
        <v>5.25</v>
      </c>
    </row>
    <row r="23" spans="1:11" x14ac:dyDescent="0.3">
      <c r="D23" s="4" t="s">
        <v>27</v>
      </c>
      <c r="E23" s="5">
        <v>12</v>
      </c>
      <c r="G23" s="4" t="s">
        <v>27</v>
      </c>
      <c r="H23" s="2">
        <v>31.25</v>
      </c>
      <c r="J23" s="4" t="s">
        <v>27</v>
      </c>
      <c r="K23" s="2">
        <v>6.6</v>
      </c>
    </row>
    <row r="24" spans="1:11" x14ac:dyDescent="0.3">
      <c r="D24" s="4" t="s">
        <v>28</v>
      </c>
      <c r="E24" s="5">
        <v>16</v>
      </c>
      <c r="G24" s="4" t="s">
        <v>28</v>
      </c>
      <c r="H24" s="2">
        <v>28.5</v>
      </c>
      <c r="J24" s="4" t="s">
        <v>28</v>
      </c>
      <c r="K24" s="2">
        <v>6.25</v>
      </c>
    </row>
    <row r="25" spans="1:11" x14ac:dyDescent="0.3">
      <c r="D25" s="4" t="s">
        <v>29</v>
      </c>
      <c r="E25" s="5">
        <v>16</v>
      </c>
      <c r="G25" s="4" t="s">
        <v>29</v>
      </c>
      <c r="H25" s="2">
        <v>34.0625</v>
      </c>
      <c r="J25" s="4" t="s">
        <v>29</v>
      </c>
      <c r="K25" s="2">
        <v>6.333333333333333</v>
      </c>
    </row>
    <row r="26" spans="1:11" x14ac:dyDescent="0.3">
      <c r="D26" s="4" t="s">
        <v>30</v>
      </c>
      <c r="E26" s="5">
        <v>15</v>
      </c>
      <c r="G26" s="4" t="s">
        <v>30</v>
      </c>
      <c r="H26" s="2">
        <v>25.2</v>
      </c>
      <c r="J26" s="4" t="s">
        <v>30</v>
      </c>
      <c r="K26" s="2">
        <v>7</v>
      </c>
    </row>
    <row r="27" spans="1:11" x14ac:dyDescent="0.3">
      <c r="D27" s="4" t="s">
        <v>31</v>
      </c>
      <c r="E27" s="5">
        <v>22</v>
      </c>
      <c r="G27" s="4" t="s">
        <v>31</v>
      </c>
      <c r="H27" s="2">
        <v>35.863636363636367</v>
      </c>
      <c r="J27" s="4" t="s">
        <v>31</v>
      </c>
      <c r="K27" s="2">
        <v>5.666666666666667</v>
      </c>
    </row>
    <row r="28" spans="1:11" x14ac:dyDescent="0.3">
      <c r="D28" s="4" t="s">
        <v>32</v>
      </c>
      <c r="E28" s="5">
        <v>18</v>
      </c>
      <c r="G28" s="4" t="s">
        <v>32</v>
      </c>
      <c r="H28" s="2">
        <v>39.833333333333336</v>
      </c>
      <c r="J28" s="4" t="s">
        <v>32</v>
      </c>
      <c r="K28" s="2">
        <v>3.3333333333333335</v>
      </c>
    </row>
    <row r="29" spans="1:11" x14ac:dyDescent="0.3">
      <c r="D29" s="4" t="s">
        <v>33</v>
      </c>
      <c r="E29" s="5">
        <v>10</v>
      </c>
      <c r="G29" s="4" t="s">
        <v>33</v>
      </c>
      <c r="H29" s="2">
        <v>37</v>
      </c>
      <c r="J29" s="4" t="s">
        <v>33</v>
      </c>
      <c r="K29" s="2">
        <v>4.75</v>
      </c>
    </row>
    <row r="30" spans="1:11" x14ac:dyDescent="0.3">
      <c r="D30" s="4" t="s">
        <v>34</v>
      </c>
      <c r="E30" s="5">
        <v>17</v>
      </c>
      <c r="G30" s="4" t="s">
        <v>34</v>
      </c>
      <c r="H30" s="2">
        <v>39.411764705882355</v>
      </c>
      <c r="J30" s="4" t="s">
        <v>34</v>
      </c>
      <c r="K30" s="2">
        <v>2</v>
      </c>
    </row>
    <row r="31" spans="1:11" x14ac:dyDescent="0.3">
      <c r="D31" s="4" t="s">
        <v>35</v>
      </c>
      <c r="E31" s="5">
        <v>17</v>
      </c>
      <c r="G31" s="4" t="s">
        <v>35</v>
      </c>
      <c r="H31" s="2">
        <v>30.294117647058822</v>
      </c>
      <c r="J31" s="4" t="s">
        <v>35</v>
      </c>
      <c r="K31" s="2">
        <v>9.25</v>
      </c>
    </row>
    <row r="32" spans="1:11" x14ac:dyDescent="0.3">
      <c r="D32" s="4" t="s">
        <v>36</v>
      </c>
      <c r="E32" s="5">
        <v>12</v>
      </c>
      <c r="G32" s="4" t="s">
        <v>36</v>
      </c>
      <c r="H32" s="2">
        <v>32.666666666666664</v>
      </c>
      <c r="J32" s="4" t="s">
        <v>36</v>
      </c>
      <c r="K32" s="2">
        <v>2.6666666666666665</v>
      </c>
    </row>
    <row r="33" spans="1:11" x14ac:dyDescent="0.3">
      <c r="D33" s="4" t="s">
        <v>37</v>
      </c>
      <c r="E33" s="5">
        <v>14</v>
      </c>
      <c r="G33" s="4" t="s">
        <v>37</v>
      </c>
      <c r="H33" s="2">
        <v>30.571428571428573</v>
      </c>
      <c r="J33" s="4" t="s">
        <v>37</v>
      </c>
      <c r="K33" s="2">
        <v>4</v>
      </c>
    </row>
    <row r="34" spans="1:11" x14ac:dyDescent="0.3">
      <c r="D34" s="4" t="s">
        <v>38</v>
      </c>
      <c r="E34" s="5">
        <v>18</v>
      </c>
      <c r="G34" s="4" t="s">
        <v>38</v>
      </c>
      <c r="H34" s="2">
        <v>39.055555555555557</v>
      </c>
      <c r="J34" s="4" t="s">
        <v>38</v>
      </c>
      <c r="K34" s="2">
        <v>8.75</v>
      </c>
    </row>
    <row r="35" spans="1:11" x14ac:dyDescent="0.3">
      <c r="D35" s="4" t="s">
        <v>5</v>
      </c>
      <c r="E35" s="5">
        <v>506</v>
      </c>
      <c r="G35" s="4" t="s">
        <v>5</v>
      </c>
      <c r="H35" s="2">
        <v>35.879446640316203</v>
      </c>
      <c r="J35" s="4" t="s">
        <v>5</v>
      </c>
      <c r="K35" s="2">
        <v>5.3277310924369745</v>
      </c>
    </row>
    <row r="41" spans="1:11" x14ac:dyDescent="0.3">
      <c r="B41" t="s">
        <v>40</v>
      </c>
      <c r="C41" t="s">
        <v>43</v>
      </c>
    </row>
    <row r="42" spans="1:11" x14ac:dyDescent="0.3">
      <c r="A42" s="4" t="s">
        <v>41</v>
      </c>
      <c r="B42" s="2">
        <v>253</v>
      </c>
      <c r="C42" s="6">
        <v>0.5</v>
      </c>
    </row>
    <row r="43" spans="1:11" x14ac:dyDescent="0.3">
      <c r="A43" s="4" t="s">
        <v>42</v>
      </c>
      <c r="B43" s="2">
        <v>253</v>
      </c>
      <c r="C43" s="6">
        <v>0.5</v>
      </c>
    </row>
    <row r="44" spans="1:11" x14ac:dyDescent="0.3">
      <c r="A44" s="4" t="s">
        <v>5</v>
      </c>
      <c r="B44" s="2">
        <v>506</v>
      </c>
      <c r="C44" s="6">
        <v>1</v>
      </c>
    </row>
    <row r="56" spans="1:3" x14ac:dyDescent="0.3">
      <c r="A56" s="7" t="s">
        <v>44</v>
      </c>
      <c r="B56" s="7" t="s">
        <v>45</v>
      </c>
      <c r="C56" s="7" t="s">
        <v>46</v>
      </c>
    </row>
    <row r="57" spans="1:3" x14ac:dyDescent="0.3">
      <c r="A57" t="str">
        <f>A42</f>
        <v>Admitted</v>
      </c>
      <c r="B57">
        <f t="shared" ref="B57:C57" si="0">B42</f>
        <v>253</v>
      </c>
      <c r="C57">
        <f t="shared" si="0"/>
        <v>0.5</v>
      </c>
    </row>
    <row r="58" spans="1:3" x14ac:dyDescent="0.3">
      <c r="A58" t="str">
        <f>A43</f>
        <v>Not admitted</v>
      </c>
      <c r="B58">
        <f t="shared" ref="B58:C58" si="1">B43</f>
        <v>253</v>
      </c>
      <c r="C58">
        <f t="shared" si="1"/>
        <v>0.5</v>
      </c>
    </row>
    <row r="64" spans="1:3" x14ac:dyDescent="0.3">
      <c r="A64" t="s">
        <v>67</v>
      </c>
    </row>
    <row r="65" spans="1:2" x14ac:dyDescent="0.3">
      <c r="B65" t="s">
        <v>55</v>
      </c>
    </row>
    <row r="66" spans="1:2" x14ac:dyDescent="0.3">
      <c r="A66" s="4" t="s">
        <v>47</v>
      </c>
      <c r="B66" s="8">
        <v>64</v>
      </c>
    </row>
    <row r="67" spans="1:2" x14ac:dyDescent="0.3">
      <c r="A67" s="4" t="s">
        <v>48</v>
      </c>
      <c r="B67" s="8">
        <v>66</v>
      </c>
    </row>
    <row r="68" spans="1:2" x14ac:dyDescent="0.3">
      <c r="A68" s="4" t="s">
        <v>49</v>
      </c>
      <c r="B68" s="8">
        <v>65</v>
      </c>
    </row>
    <row r="69" spans="1:2" x14ac:dyDescent="0.3">
      <c r="A69" s="4" t="s">
        <v>50</v>
      </c>
      <c r="B69" s="8">
        <v>73</v>
      </c>
    </row>
    <row r="70" spans="1:2" x14ac:dyDescent="0.3">
      <c r="A70" s="4" t="s">
        <v>51</v>
      </c>
      <c r="B70" s="8">
        <v>45</v>
      </c>
    </row>
    <row r="71" spans="1:2" x14ac:dyDescent="0.3">
      <c r="A71" s="4" t="s">
        <v>52</v>
      </c>
      <c r="B71" s="8">
        <v>72</v>
      </c>
    </row>
    <row r="72" spans="1:2" x14ac:dyDescent="0.3">
      <c r="A72" s="4" t="s">
        <v>53</v>
      </c>
      <c r="B72" s="8">
        <v>74</v>
      </c>
    </row>
    <row r="73" spans="1:2" x14ac:dyDescent="0.3">
      <c r="A73" s="4" t="s">
        <v>54</v>
      </c>
      <c r="B73" s="8">
        <v>47</v>
      </c>
    </row>
    <row r="74" spans="1:2" x14ac:dyDescent="0.3">
      <c r="A74" s="4" t="s">
        <v>5</v>
      </c>
      <c r="B74" s="2">
        <v>506</v>
      </c>
    </row>
    <row r="80" spans="1:2" x14ac:dyDescent="0.3">
      <c r="B80" s="9" t="s">
        <v>68</v>
      </c>
    </row>
    <row r="81" spans="1:2" x14ac:dyDescent="0.3">
      <c r="A81" s="4" t="s">
        <v>59</v>
      </c>
      <c r="B81" s="2">
        <v>312</v>
      </c>
    </row>
    <row r="82" spans="1:2" x14ac:dyDescent="0.3">
      <c r="A82" s="4" t="s">
        <v>58</v>
      </c>
      <c r="B82" s="2">
        <v>194</v>
      </c>
    </row>
    <row r="83" spans="1:2" x14ac:dyDescent="0.3">
      <c r="A83" s="4" t="s">
        <v>5</v>
      </c>
      <c r="B83" s="2">
        <v>506</v>
      </c>
    </row>
    <row r="86" spans="1:2" x14ac:dyDescent="0.3">
      <c r="B86" s="9" t="s">
        <v>69</v>
      </c>
    </row>
    <row r="87" spans="1:2" x14ac:dyDescent="0.3">
      <c r="A87" s="4" t="s">
        <v>60</v>
      </c>
      <c r="B87" s="2">
        <v>231</v>
      </c>
    </row>
    <row r="88" spans="1:2" x14ac:dyDescent="0.3">
      <c r="A88" s="4" t="s">
        <v>56</v>
      </c>
      <c r="B88" s="2">
        <v>275</v>
      </c>
    </row>
    <row r="89" spans="1:2" x14ac:dyDescent="0.3">
      <c r="A89" s="4" t="s">
        <v>5</v>
      </c>
      <c r="B89" s="2">
        <v>506</v>
      </c>
    </row>
    <row r="93" spans="1:2" x14ac:dyDescent="0.3">
      <c r="B93" s="9" t="s">
        <v>70</v>
      </c>
    </row>
    <row r="94" spans="1:2" x14ac:dyDescent="0.3">
      <c r="A94" s="4" t="s">
        <v>63</v>
      </c>
      <c r="B94" s="2">
        <v>15</v>
      </c>
    </row>
    <row r="95" spans="1:2" x14ac:dyDescent="0.3">
      <c r="A95" s="4" t="s">
        <v>65</v>
      </c>
      <c r="B95" s="2">
        <v>6</v>
      </c>
    </row>
    <row r="96" spans="1:2" x14ac:dyDescent="0.3">
      <c r="A96" s="4" t="s">
        <v>61</v>
      </c>
      <c r="B96" s="2">
        <v>93</v>
      </c>
    </row>
    <row r="97" spans="1:2" x14ac:dyDescent="0.3">
      <c r="A97" s="4" t="s">
        <v>64</v>
      </c>
      <c r="B97" s="2">
        <v>5</v>
      </c>
    </row>
    <row r="98" spans="1:2" x14ac:dyDescent="0.3">
      <c r="A98" s="4" t="s">
        <v>57</v>
      </c>
      <c r="B98" s="2">
        <v>311</v>
      </c>
    </row>
    <row r="99" spans="1:2" x14ac:dyDescent="0.3">
      <c r="A99" s="4" t="s">
        <v>62</v>
      </c>
      <c r="B99" s="2">
        <v>59</v>
      </c>
    </row>
    <row r="100" spans="1:2" x14ac:dyDescent="0.3">
      <c r="A100" s="4" t="s">
        <v>66</v>
      </c>
      <c r="B100" s="2">
        <v>14</v>
      </c>
    </row>
    <row r="101" spans="1:2" x14ac:dyDescent="0.3">
      <c r="A101" s="4" t="s">
        <v>71</v>
      </c>
      <c r="B101" s="2">
        <v>3</v>
      </c>
    </row>
    <row r="102" spans="1:2" x14ac:dyDescent="0.3">
      <c r="A102" s="4" t="s">
        <v>5</v>
      </c>
      <c r="B102" s="2">
        <v>506</v>
      </c>
    </row>
    <row r="106" spans="1:2" x14ac:dyDescent="0.3">
      <c r="A106" s="4" t="s">
        <v>72</v>
      </c>
    </row>
    <row r="107" spans="1:2" x14ac:dyDescent="0.3">
      <c r="A107"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256E-3F87-4C48-BAC2-E5B34DAB2579}">
  <dimension ref="A1:N28"/>
  <sheetViews>
    <sheetView showGridLines="0" tabSelected="1" zoomScale="91" zoomScaleNormal="100" workbookViewId="0">
      <selection activeCell="O21" sqref="O21"/>
    </sheetView>
  </sheetViews>
  <sheetFormatPr defaultRowHeight="14.4" x14ac:dyDescent="0.3"/>
  <sheetData>
    <row r="1" spans="1:14" x14ac:dyDescent="0.3">
      <c r="A1" s="3"/>
      <c r="B1" s="3"/>
      <c r="C1" s="3"/>
      <c r="D1" s="3"/>
      <c r="E1" s="3"/>
      <c r="F1" s="3"/>
      <c r="G1" s="3"/>
      <c r="H1" s="3"/>
      <c r="I1" s="3"/>
      <c r="J1" s="3"/>
      <c r="K1" s="3"/>
      <c r="L1" s="3"/>
      <c r="M1" s="3"/>
      <c r="N1" s="3"/>
    </row>
    <row r="2" spans="1:14" x14ac:dyDescent="0.3">
      <c r="A2" s="3"/>
      <c r="B2" s="3"/>
      <c r="C2" s="3"/>
      <c r="D2" s="3"/>
      <c r="E2" s="3"/>
      <c r="F2" s="3"/>
      <c r="G2" s="3"/>
      <c r="H2" s="3"/>
      <c r="I2" s="3"/>
      <c r="J2" s="3"/>
      <c r="K2" s="3"/>
      <c r="L2" s="3"/>
      <c r="M2" s="3"/>
      <c r="N2" s="3"/>
    </row>
    <row r="3" spans="1:14" x14ac:dyDescent="0.3">
      <c r="A3" s="3"/>
      <c r="B3" s="3"/>
      <c r="C3" s="3"/>
      <c r="D3" s="3"/>
      <c r="E3" s="3"/>
      <c r="F3" s="3"/>
      <c r="G3" s="3"/>
      <c r="H3" s="3"/>
      <c r="I3" s="3"/>
      <c r="J3" s="3"/>
      <c r="K3" s="3"/>
      <c r="L3" s="3"/>
      <c r="M3" s="3"/>
      <c r="N3" s="3"/>
    </row>
    <row r="4" spans="1:14" x14ac:dyDescent="0.3">
      <c r="A4" s="3"/>
      <c r="B4" s="3"/>
      <c r="C4" s="3"/>
      <c r="D4" s="3"/>
      <c r="E4" s="3"/>
      <c r="F4" s="3"/>
      <c r="G4" s="3"/>
      <c r="H4" s="3"/>
      <c r="I4" s="3"/>
      <c r="J4" s="3"/>
      <c r="K4" s="3"/>
      <c r="L4" s="3"/>
      <c r="M4" s="3"/>
      <c r="N4" s="3"/>
    </row>
    <row r="5" spans="1:14" x14ac:dyDescent="0.3">
      <c r="A5" s="3"/>
      <c r="B5" s="3"/>
      <c r="C5" s="3"/>
      <c r="D5" s="3"/>
      <c r="E5" s="3"/>
      <c r="F5" s="3"/>
      <c r="G5" s="3"/>
      <c r="H5" s="3"/>
      <c r="I5" s="3"/>
      <c r="J5" s="3"/>
      <c r="K5" s="3"/>
      <c r="L5" s="3"/>
      <c r="M5" s="3"/>
      <c r="N5" s="3"/>
    </row>
    <row r="6" spans="1:14" x14ac:dyDescent="0.3">
      <c r="A6" s="3"/>
      <c r="B6" s="3"/>
      <c r="C6" s="3"/>
      <c r="D6" s="3"/>
      <c r="E6" s="3"/>
      <c r="F6" s="3"/>
      <c r="G6" s="3"/>
      <c r="H6" s="3"/>
      <c r="I6" s="3"/>
      <c r="J6" s="3"/>
      <c r="K6" s="3"/>
      <c r="L6" s="3"/>
      <c r="M6" s="3"/>
      <c r="N6" s="3"/>
    </row>
    <row r="7" spans="1:14" x14ac:dyDescent="0.3">
      <c r="A7" s="3"/>
      <c r="B7" s="3"/>
      <c r="C7" s="3"/>
      <c r="D7" s="3"/>
      <c r="E7" s="3"/>
      <c r="F7" s="3"/>
      <c r="G7" s="3"/>
      <c r="H7" s="3"/>
      <c r="I7" s="3"/>
      <c r="J7" s="3"/>
      <c r="K7" s="3"/>
      <c r="L7" s="3"/>
      <c r="M7" s="3"/>
      <c r="N7" s="3"/>
    </row>
    <row r="8" spans="1:14" x14ac:dyDescent="0.3">
      <c r="A8" s="3"/>
      <c r="B8" s="3"/>
      <c r="C8" s="3"/>
      <c r="D8" s="3"/>
      <c r="E8" s="3"/>
      <c r="F8" s="3"/>
      <c r="G8" s="3"/>
      <c r="H8" s="3"/>
      <c r="I8" s="3"/>
      <c r="J8" s="3"/>
      <c r="K8" s="3"/>
      <c r="L8" s="3"/>
      <c r="M8" s="3"/>
      <c r="N8" s="3"/>
    </row>
    <row r="9" spans="1:14" x14ac:dyDescent="0.3">
      <c r="A9" s="3"/>
      <c r="B9" s="3"/>
      <c r="C9" s="3"/>
      <c r="D9" s="3"/>
      <c r="E9" s="3"/>
      <c r="F9" s="3"/>
      <c r="G9" s="3"/>
      <c r="H9" s="3"/>
      <c r="I9" s="3"/>
      <c r="J9" s="3"/>
      <c r="K9" s="3"/>
      <c r="L9" s="3"/>
      <c r="M9" s="3"/>
      <c r="N9" s="3"/>
    </row>
    <row r="10" spans="1:14" x14ac:dyDescent="0.3">
      <c r="A10" s="3"/>
      <c r="B10" s="3"/>
      <c r="C10" s="3"/>
      <c r="D10" s="3"/>
      <c r="E10" s="3"/>
      <c r="F10" s="3"/>
      <c r="G10" s="3"/>
      <c r="H10" s="3"/>
      <c r="I10" s="3"/>
      <c r="J10" s="3"/>
      <c r="K10" s="3"/>
      <c r="L10" s="3"/>
      <c r="M10" s="3"/>
      <c r="N10" s="3"/>
    </row>
    <row r="11" spans="1:14" x14ac:dyDescent="0.3">
      <c r="A11" s="3"/>
      <c r="B11" s="3"/>
      <c r="C11" s="3"/>
      <c r="D11" s="3"/>
      <c r="E11" s="3"/>
      <c r="F11" s="3"/>
      <c r="G11" s="3"/>
      <c r="H11" s="3"/>
      <c r="I11" s="3"/>
      <c r="J11" s="3"/>
      <c r="K11" s="3"/>
      <c r="L11" s="3"/>
      <c r="M11" s="3"/>
      <c r="N11" s="3"/>
    </row>
    <row r="12" spans="1:14" x14ac:dyDescent="0.3">
      <c r="A12" s="3"/>
      <c r="B12" s="3"/>
      <c r="C12" s="3"/>
      <c r="D12" s="3"/>
      <c r="E12" s="3"/>
      <c r="F12" s="3"/>
      <c r="G12" s="3"/>
      <c r="H12" s="3"/>
      <c r="I12" s="3"/>
      <c r="J12" s="3"/>
      <c r="K12" s="3"/>
      <c r="L12" s="3"/>
      <c r="M12" s="3"/>
      <c r="N12" s="3"/>
    </row>
    <row r="13" spans="1:14" x14ac:dyDescent="0.3">
      <c r="A13" s="3"/>
      <c r="B13" s="3"/>
      <c r="C13" s="3"/>
      <c r="D13" s="3"/>
      <c r="E13" s="3"/>
      <c r="F13" s="3"/>
      <c r="G13" s="3"/>
      <c r="H13" s="3"/>
      <c r="I13" s="3"/>
      <c r="J13" s="3"/>
      <c r="K13" s="3"/>
      <c r="L13" s="3"/>
      <c r="M13" s="3"/>
      <c r="N13" s="3"/>
    </row>
    <row r="14" spans="1:14" x14ac:dyDescent="0.3">
      <c r="A14" s="3"/>
      <c r="B14" s="3"/>
      <c r="C14" s="3"/>
      <c r="D14" s="3"/>
      <c r="E14" s="3"/>
      <c r="F14" s="3"/>
      <c r="G14" s="3"/>
      <c r="H14" s="3"/>
      <c r="I14" s="3"/>
      <c r="J14" s="3"/>
      <c r="K14" s="3"/>
      <c r="L14" s="3"/>
      <c r="M14" s="3"/>
      <c r="N14" s="3"/>
    </row>
    <row r="15" spans="1:14" x14ac:dyDescent="0.3">
      <c r="A15" s="3"/>
      <c r="B15" s="3"/>
      <c r="C15" s="3"/>
      <c r="D15" s="3"/>
      <c r="E15" s="3"/>
      <c r="F15" s="3"/>
      <c r="G15" s="3"/>
      <c r="H15" s="3"/>
      <c r="I15" s="3"/>
      <c r="J15" s="3"/>
      <c r="K15" s="3"/>
      <c r="L15" s="3"/>
      <c r="M15" s="3"/>
      <c r="N15" s="3"/>
    </row>
    <row r="16" spans="1:14" x14ac:dyDescent="0.3">
      <c r="A16" s="3"/>
      <c r="B16" s="3"/>
      <c r="C16" s="3"/>
      <c r="D16" s="3"/>
      <c r="E16" s="3"/>
      <c r="F16" s="3"/>
      <c r="G16" s="3"/>
      <c r="H16" s="3"/>
      <c r="I16" s="3"/>
      <c r="J16" s="3"/>
      <c r="K16" s="3"/>
      <c r="L16" s="3"/>
      <c r="M16" s="3"/>
      <c r="N16" s="3"/>
    </row>
    <row r="17" spans="1:14" x14ac:dyDescent="0.3">
      <c r="A17" s="3"/>
      <c r="B17" s="3"/>
      <c r="C17" s="3"/>
      <c r="D17" s="3"/>
      <c r="E17" s="3"/>
      <c r="F17" s="3"/>
      <c r="G17" s="3"/>
      <c r="H17" s="3"/>
      <c r="I17" s="3"/>
      <c r="J17" s="3"/>
      <c r="K17" s="3"/>
      <c r="L17" s="3"/>
      <c r="M17" s="3"/>
      <c r="N17" s="3"/>
    </row>
    <row r="18" spans="1:14" x14ac:dyDescent="0.3">
      <c r="A18" s="3"/>
      <c r="B18" s="3"/>
      <c r="C18" s="3"/>
      <c r="D18" s="3"/>
      <c r="E18" s="3"/>
      <c r="F18" s="3"/>
      <c r="G18" s="3"/>
      <c r="H18" s="3"/>
      <c r="I18" s="3"/>
      <c r="J18" s="3"/>
      <c r="K18" s="3"/>
      <c r="L18" s="3"/>
      <c r="M18" s="3"/>
      <c r="N18" s="3"/>
    </row>
    <row r="19" spans="1:14" x14ac:dyDescent="0.3">
      <c r="A19" s="3"/>
      <c r="B19" s="3"/>
      <c r="C19" s="3"/>
      <c r="D19" s="3"/>
      <c r="E19" s="3"/>
      <c r="F19" s="3"/>
      <c r="G19" s="3"/>
      <c r="H19" s="3"/>
      <c r="I19" s="3"/>
      <c r="J19" s="3"/>
      <c r="K19" s="3"/>
      <c r="L19" s="3"/>
      <c r="M19" s="3"/>
      <c r="N19" s="3"/>
    </row>
    <row r="20" spans="1:14" x14ac:dyDescent="0.3">
      <c r="A20" s="3"/>
      <c r="B20" s="3"/>
      <c r="C20" s="3"/>
      <c r="D20" s="3"/>
      <c r="E20" s="3"/>
      <c r="F20" s="3"/>
      <c r="G20" s="3"/>
      <c r="H20" s="3"/>
      <c r="I20" s="3"/>
      <c r="J20" s="3"/>
      <c r="K20" s="3"/>
      <c r="L20" s="3"/>
      <c r="M20" s="3"/>
      <c r="N20" s="3"/>
    </row>
    <row r="21" spans="1:14" x14ac:dyDescent="0.3">
      <c r="A21" s="3"/>
      <c r="B21" s="3"/>
      <c r="C21" s="3"/>
      <c r="D21" s="3"/>
      <c r="E21" s="3"/>
      <c r="F21" s="3"/>
      <c r="G21" s="3"/>
      <c r="H21" s="3"/>
      <c r="I21" s="3"/>
      <c r="J21" s="3"/>
      <c r="K21" s="3"/>
      <c r="L21" s="3"/>
      <c r="M21" s="3"/>
      <c r="N21" s="3"/>
    </row>
    <row r="22" spans="1:14" x14ac:dyDescent="0.3">
      <c r="A22" s="3"/>
      <c r="B22" s="3"/>
      <c r="C22" s="3"/>
      <c r="D22" s="3"/>
      <c r="E22" s="3"/>
      <c r="F22" s="3"/>
      <c r="G22" s="3"/>
      <c r="H22" s="3"/>
      <c r="I22" s="3"/>
      <c r="J22" s="3"/>
      <c r="K22" s="3"/>
      <c r="L22" s="3"/>
      <c r="M22" s="3"/>
      <c r="N22" s="3"/>
    </row>
    <row r="23" spans="1:14" x14ac:dyDescent="0.3">
      <c r="A23" s="3"/>
      <c r="B23" s="3"/>
      <c r="C23" s="3"/>
      <c r="D23" s="3"/>
      <c r="E23" s="3"/>
      <c r="F23" s="3"/>
      <c r="G23" s="3"/>
      <c r="H23" s="3"/>
      <c r="I23" s="3"/>
      <c r="J23" s="3"/>
      <c r="K23" s="3"/>
      <c r="L23" s="3"/>
      <c r="M23" s="3"/>
      <c r="N23" s="3"/>
    </row>
    <row r="24" spans="1:14" x14ac:dyDescent="0.3">
      <c r="A24" s="3"/>
      <c r="B24" s="3"/>
      <c r="C24" s="3"/>
      <c r="D24" s="3"/>
      <c r="E24" s="3"/>
      <c r="F24" s="3"/>
      <c r="G24" s="3"/>
      <c r="H24" s="3"/>
      <c r="I24" s="3"/>
      <c r="J24" s="3"/>
      <c r="K24" s="3"/>
      <c r="L24" s="3"/>
      <c r="M24" s="3"/>
      <c r="N24" s="3"/>
    </row>
    <row r="25" spans="1:14" x14ac:dyDescent="0.3">
      <c r="A25" s="3"/>
      <c r="B25" s="3"/>
      <c r="C25" s="3"/>
      <c r="D25" s="3"/>
      <c r="E25" s="3"/>
      <c r="F25" s="3"/>
      <c r="G25" s="3"/>
      <c r="H25" s="3"/>
      <c r="I25" s="3"/>
      <c r="J25" s="3"/>
      <c r="K25" s="3"/>
      <c r="L25" s="3"/>
      <c r="M25" s="3"/>
      <c r="N25" s="3"/>
    </row>
    <row r="26" spans="1:14" x14ac:dyDescent="0.3">
      <c r="A26" s="3"/>
      <c r="B26" s="3"/>
      <c r="C26" s="3"/>
      <c r="D26" s="3"/>
      <c r="E26" s="3"/>
      <c r="F26" s="3"/>
      <c r="G26" s="3"/>
      <c r="H26" s="3"/>
      <c r="I26" s="3"/>
      <c r="J26" s="3"/>
      <c r="K26" s="3"/>
      <c r="L26" s="3"/>
      <c r="M26" s="3"/>
      <c r="N26" s="3"/>
    </row>
    <row r="27" spans="1:14" x14ac:dyDescent="0.3">
      <c r="A27" s="3"/>
      <c r="B27" s="3"/>
      <c r="C27" s="3"/>
      <c r="D27" s="3"/>
      <c r="E27" s="3"/>
      <c r="F27" s="3"/>
      <c r="G27" s="3"/>
      <c r="H27" s="3"/>
      <c r="I27" s="3"/>
      <c r="J27" s="3"/>
      <c r="K27" s="3"/>
      <c r="L27" s="3"/>
      <c r="M27" s="3"/>
      <c r="N27" s="3"/>
    </row>
    <row r="28" spans="1:14" x14ac:dyDescent="0.3">
      <c r="A28" s="3"/>
      <c r="B28" s="3"/>
      <c r="C28" s="3"/>
      <c r="D28" s="3"/>
      <c r="E28" s="3"/>
      <c r="F28" s="3"/>
      <c r="G28" s="3"/>
      <c r="H28" s="3"/>
      <c r="I28" s="3"/>
      <c r="J28" s="3"/>
      <c r="K28" s="3"/>
      <c r="L28" s="3"/>
      <c r="M28" s="3"/>
      <c r="N28"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AE596-D2F9-494F-AD55-C06AE44503FE}">
  <dimension ref="A1"/>
  <sheetViews>
    <sheetView showGridLines="0"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F5D2-2622-40FF-9F77-55ACCC3F1EF1}">
  <dimension ref="A1"/>
  <sheetViews>
    <sheetView showGridLines="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0544C-E74E-4CFC-8FA2-B83DAD3E20B9}">
  <dimension ref="A1"/>
  <sheetViews>
    <sheetView showGridLines="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B16FA0D-05CF-48B0-A519-F2555807B5FC}">
  <ds:schemaRefs/>
</ds:datastoreItem>
</file>

<file path=customXml/itemProps2.xml><?xml version="1.0" encoding="utf-8"?>
<ds:datastoreItem xmlns:ds="http://schemas.openxmlformats.org/officeDocument/2006/customXml" ds:itemID="{DD09898D-D8F7-4940-A222-361A778E21F6}">
  <ds:schemaRefs/>
</ds:datastoreItem>
</file>

<file path=customXml/itemProps3.xml><?xml version="1.0" encoding="utf-8"?>
<ds:datastoreItem xmlns:ds="http://schemas.openxmlformats.org/officeDocument/2006/customXml" ds:itemID="{42B532CD-F370-49A4-AAF7-2D21C5F38E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Dally ER no of patients</vt:lpstr>
      <vt:lpstr>Patient satisfaction score</vt:lpstr>
      <vt:lpstr>Average wait time dally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BARIKI</dc:creator>
  <cp:lastModifiedBy>CHANDAN BARIKI</cp:lastModifiedBy>
  <dcterms:created xsi:type="dcterms:W3CDTF">2026-09-15T07:24:14Z</dcterms:created>
  <dcterms:modified xsi:type="dcterms:W3CDTF">2026-09-17T08:13:08Z</dcterms:modified>
</cp:coreProperties>
</file>